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https://d.docs.live.net/EC1B3E0FB7AB2989/Desktop/data analytic material/project 1/"/>
    </mc:Choice>
  </mc:AlternateContent>
  <xr:revisionPtr revIDLastSave="2" documentId="11_F3BFDFFC974248DFE54878D6425DCE3A0741CEEA" xr6:coauthVersionLast="36" xr6:coauthVersionMax="36" xr10:uidLastSave="{1294A4C7-5330-46A7-87B0-715E4CB9D7C5}"/>
  <bookViews>
    <workbookView xWindow="0" yWindow="0" windowWidth="23040" windowHeight="8940" firstSheet="6" activeTab="10" xr2:uid="{00000000-000D-0000-FFFF-FFFF00000000}"/>
  </bookViews>
  <sheets>
    <sheet name="Raw_Data (2)" sheetId="2" r:id="rId1"/>
    <sheet name="Pivot_Analysis" sheetId="4" r:id="rId2"/>
    <sheet name="Category_Analysis" sheetId="5" r:id="rId3"/>
    <sheet name="Product_Analysis" sheetId="6" r:id="rId4"/>
    <sheet name="State_Analysis" sheetId="7" r:id="rId5"/>
    <sheet name="Payment_Analysis" sheetId="8" r:id="rId6"/>
    <sheet name="Discount_Analysis" sheetId="9" r:id="rId7"/>
    <sheet name="Sheet10" sheetId="11" r:id="rId8"/>
    <sheet name="Cleaned_Data" sheetId="1" r:id="rId9"/>
    <sheet name="Analysis" sheetId="3" r:id="rId10"/>
    <sheet name="Dashboard" sheetId="10" r:id="rId11"/>
  </sheets>
  <definedNames>
    <definedName name="_xlnm._FilterDatabase" localSheetId="8" hidden="1">Cleaned_Data!$A$1:$L$501</definedName>
    <definedName name="Slicer_Category">#N/A</definedName>
    <definedName name="Slicer_MONTH">#N/A</definedName>
    <definedName name="Slicer_Payment_Mode">#N/A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3" l="1"/>
  <c r="C8" i="10"/>
  <c r="A8" i="10"/>
  <c r="G5" i="10"/>
  <c r="E5" i="10"/>
  <c r="C5" i="10"/>
  <c r="A5" i="10"/>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B7" i="3"/>
  <c r="B6" i="3"/>
  <c r="B5" i="3"/>
  <c r="B4" i="3"/>
  <c r="B8" i="3" s="1"/>
  <c r="B9" i="3" l="1"/>
</calcChain>
</file>

<file path=xl/sharedStrings.xml><?xml version="1.0" encoding="utf-8"?>
<sst xmlns="http://schemas.openxmlformats.org/spreadsheetml/2006/main" count="7099" uniqueCount="694">
  <si>
    <t>Order ID</t>
  </si>
  <si>
    <t>Order Date</t>
  </si>
  <si>
    <t>Customer Name</t>
  </si>
  <si>
    <t>City</t>
  </si>
  <si>
    <t>State</t>
  </si>
  <si>
    <t>Product</t>
  </si>
  <si>
    <t>Category</t>
  </si>
  <si>
    <t>Sales</t>
  </si>
  <si>
    <t>Quantity</t>
  </si>
  <si>
    <t>Discount</t>
  </si>
  <si>
    <t>Profit</t>
  </si>
  <si>
    <t>Payment Mode</t>
  </si>
  <si>
    <t>ORD-10001</t>
  </si>
  <si>
    <t>Kavya Verma</t>
  </si>
  <si>
    <t>Ahmedabad</t>
  </si>
  <si>
    <t>Gujarat</t>
  </si>
  <si>
    <t>Monitor</t>
  </si>
  <si>
    <t>Electronics</t>
  </si>
  <si>
    <t>Debit Card</t>
  </si>
  <si>
    <t>ORD-10002</t>
  </si>
  <si>
    <t>Vihaan Mehta</t>
  </si>
  <si>
    <t>Chennai</t>
  </si>
  <si>
    <t>Tamil Nadu</t>
  </si>
  <si>
    <t>Desk</t>
  </si>
  <si>
    <t>Furniture</t>
  </si>
  <si>
    <t>Cash</t>
  </si>
  <si>
    <t>ORD-10003</t>
  </si>
  <si>
    <t>Isha Joshi</t>
  </si>
  <si>
    <t>Jaipur</t>
  </si>
  <si>
    <t>Rajasthan</t>
  </si>
  <si>
    <t>Smartphone</t>
  </si>
  <si>
    <t>UPI</t>
  </si>
  <si>
    <t>ORD-10004</t>
  </si>
  <si>
    <t>Aditya Jain</t>
  </si>
  <si>
    <t>Backpack</t>
  </si>
  <si>
    <t>Accessories</t>
  </si>
  <si>
    <t>ORD-10005</t>
  </si>
  <si>
    <t>Arjun Joshi</t>
  </si>
  <si>
    <t>Hyderabad</t>
  </si>
  <si>
    <t>Telangana</t>
  </si>
  <si>
    <t>Headphones</t>
  </si>
  <si>
    <t>ORD-10006</t>
  </si>
  <si>
    <t>Isha Jain</t>
  </si>
  <si>
    <t>Bhopal</t>
  </si>
  <si>
    <t>Madhya Pradesh</t>
  </si>
  <si>
    <t>Notebook</t>
  </si>
  <si>
    <t>Office Supplies</t>
  </si>
  <si>
    <t>ORD-10007</t>
  </si>
  <si>
    <t>Rahul Khan</t>
  </si>
  <si>
    <t>Bengaluru</t>
  </si>
  <si>
    <t>Karnataka</t>
  </si>
  <si>
    <t>Credit Card</t>
  </si>
  <si>
    <t>ORD-10008</t>
  </si>
  <si>
    <t>Arjun Mehta</t>
  </si>
  <si>
    <t>Pune</t>
  </si>
  <si>
    <t>Maharashtra</t>
  </si>
  <si>
    <t>Mouse</t>
  </si>
  <si>
    <t>ORD-10009</t>
  </si>
  <si>
    <t>Kavya Joshi</t>
  </si>
  <si>
    <t>ORD-10010</t>
  </si>
  <si>
    <t>Neha Joshi</t>
  </si>
  <si>
    <t>Kolkata</t>
  </si>
  <si>
    <t>West Bengal</t>
  </si>
  <si>
    <t>Tablet</t>
  </si>
  <si>
    <t>ORD-10011</t>
  </si>
  <si>
    <t>Sneha Gupta</t>
  </si>
  <si>
    <t>ORD-10012</t>
  </si>
  <si>
    <t>Aarav Jain</t>
  </si>
  <si>
    <t>Net Banking</t>
  </si>
  <si>
    <t>ORD-10013</t>
  </si>
  <si>
    <t>Aditya Sharma</t>
  </si>
  <si>
    <t>Mumbai</t>
  </si>
  <si>
    <t>ORD-10014</t>
  </si>
  <si>
    <t>Lucknow</t>
  </si>
  <si>
    <t>Uttar Pradesh</t>
  </si>
  <si>
    <t>Office Chair</t>
  </si>
  <si>
    <t>ORD-10015</t>
  </si>
  <si>
    <t>Arjun Jain</t>
  </si>
  <si>
    <t>ORD-10016</t>
  </si>
  <si>
    <t>Rahul Singh</t>
  </si>
  <si>
    <t>ORD-10017</t>
  </si>
  <si>
    <t>Sneha Joshi</t>
  </si>
  <si>
    <t>ORD-10018</t>
  </si>
  <si>
    <t>Isha Mehta</t>
  </si>
  <si>
    <t>ORD-10019</t>
  </si>
  <si>
    <t>ORD-10020</t>
  </si>
  <si>
    <t>Vihaan Khan</t>
  </si>
  <si>
    <t>Laptop</t>
  </si>
  <si>
    <t>ORD-10021</t>
  </si>
  <si>
    <t>Rahul Jain</t>
  </si>
  <si>
    <t>Indore</t>
  </si>
  <si>
    <t>ORD-10022</t>
  </si>
  <si>
    <t>ORD-10023</t>
  </si>
  <si>
    <t>Isha Singh</t>
  </si>
  <si>
    <t>Printer</t>
  </si>
  <si>
    <t>ORD-10024</t>
  </si>
  <si>
    <t>Priya Jain</t>
  </si>
  <si>
    <t>ORD-10025</t>
  </si>
  <si>
    <t>ORD-10026</t>
  </si>
  <si>
    <t>ORD-10027</t>
  </si>
  <si>
    <t>ORD-10028</t>
  </si>
  <si>
    <t>Aditya Joshi</t>
  </si>
  <si>
    <t>ORD-10029</t>
  </si>
  <si>
    <t>Arjun Sharma</t>
  </si>
  <si>
    <t>ORD-10030</t>
  </si>
  <si>
    <t>Aarav Verma</t>
  </si>
  <si>
    <t>Keyboard</t>
  </si>
  <si>
    <t>ORD-10031</t>
  </si>
  <si>
    <t>Aarav Gupta</t>
  </si>
  <si>
    <t>ORD-10032</t>
  </si>
  <si>
    <t>Rohan Khan</t>
  </si>
  <si>
    <t>ORD-10033</t>
  </si>
  <si>
    <t>ORD-10034</t>
  </si>
  <si>
    <t>Rahul Yadav</t>
  </si>
  <si>
    <t>Delhi</t>
  </si>
  <si>
    <t>ORD-10035</t>
  </si>
  <si>
    <t>Sneha Yadav</t>
  </si>
  <si>
    <t>ORD-10036</t>
  </si>
  <si>
    <t>Kavya Jain</t>
  </si>
  <si>
    <t>ORD-10037</t>
  </si>
  <si>
    <t>Arjun Singh</t>
  </si>
  <si>
    <t>ORD-10038</t>
  </si>
  <si>
    <t>Neha Khan</t>
  </si>
  <si>
    <t>ORD-10039</t>
  </si>
  <si>
    <t>Kavya Khan</t>
  </si>
  <si>
    <t>ORD-10040</t>
  </si>
  <si>
    <t>Neha Singh</t>
  </si>
  <si>
    <t>ORD-10041</t>
  </si>
  <si>
    <t>ORD-10042</t>
  </si>
  <si>
    <t>Ananya Gupta</t>
  </si>
  <si>
    <t>ORD-10043</t>
  </si>
  <si>
    <t>Ananya Mehta</t>
  </si>
  <si>
    <t>ORD-10044</t>
  </si>
  <si>
    <t>Neha Verma</t>
  </si>
  <si>
    <t>ORD-10045</t>
  </si>
  <si>
    <t>Aarav Singh</t>
  </si>
  <si>
    <t>ORD-10046</t>
  </si>
  <si>
    <t>Rohan Jain</t>
  </si>
  <si>
    <t>ORD-10047</t>
  </si>
  <si>
    <t>Aditya Yadav</t>
  </si>
  <si>
    <t>ORD-10048</t>
  </si>
  <si>
    <t>ORD-10049</t>
  </si>
  <si>
    <t>Isha Verma</t>
  </si>
  <si>
    <t>ORD-10050</t>
  </si>
  <si>
    <t>Vihaan Verma</t>
  </si>
  <si>
    <t>ORD-10051</t>
  </si>
  <si>
    <t>ORD-10052</t>
  </si>
  <si>
    <t>ORD-10053</t>
  </si>
  <si>
    <t>Aditya Singh</t>
  </si>
  <si>
    <t>ORD-10054</t>
  </si>
  <si>
    <t>ORD-10055</t>
  </si>
  <si>
    <t>ORD-10056</t>
  </si>
  <si>
    <t>Rohan Gupta</t>
  </si>
  <si>
    <t>ORD-10057</t>
  </si>
  <si>
    <t>Ananya Jain</t>
  </si>
  <si>
    <t>ORD-10058</t>
  </si>
  <si>
    <t>Neha Patel</t>
  </si>
  <si>
    <t>ORD-10059</t>
  </si>
  <si>
    <t>Priya Yadav</t>
  </si>
  <si>
    <t>ORD-10060</t>
  </si>
  <si>
    <t>Priya Sharma</t>
  </si>
  <si>
    <t>ORD-10061</t>
  </si>
  <si>
    <t>Aditya Khan</t>
  </si>
  <si>
    <t>ORD-10062</t>
  </si>
  <si>
    <t>Isha Yadav</t>
  </si>
  <si>
    <t>ORD-10063</t>
  </si>
  <si>
    <t>ORD-10064</t>
  </si>
  <si>
    <t>ORD-10065</t>
  </si>
  <si>
    <t>Ananya Sharma</t>
  </si>
  <si>
    <t>ORD-10066</t>
  </si>
  <si>
    <t>Priya Khan</t>
  </si>
  <si>
    <t>ORD-10067</t>
  </si>
  <si>
    <t>Kavya Patel</t>
  </si>
  <si>
    <t>ORD-10068</t>
  </si>
  <si>
    <t>ORD-10069</t>
  </si>
  <si>
    <t>Aditya Gupta</t>
  </si>
  <si>
    <t>ORD-10070</t>
  </si>
  <si>
    <t>Rahul Sharma</t>
  </si>
  <si>
    <t>ORD-10071</t>
  </si>
  <si>
    <t>Aarav Sharma</t>
  </si>
  <si>
    <t>ORD-10072</t>
  </si>
  <si>
    <t>ORD-10073</t>
  </si>
  <si>
    <t>Rohan Joshi</t>
  </si>
  <si>
    <t>ORD-10074</t>
  </si>
  <si>
    <t>ORD-10075</t>
  </si>
  <si>
    <t>ORD-10076</t>
  </si>
  <si>
    <t>Isha Patel</t>
  </si>
  <si>
    <t>ORD-10077</t>
  </si>
  <si>
    <t>Aarav Mehta</t>
  </si>
  <si>
    <t>ORD-10078</t>
  </si>
  <si>
    <t>Aarav Yadav</t>
  </si>
  <si>
    <t>ORD-10079</t>
  </si>
  <si>
    <t>Sneha Verma</t>
  </si>
  <si>
    <t>ORD-10080</t>
  </si>
  <si>
    <t>Priya Joshi</t>
  </si>
  <si>
    <t>ORD-10081</t>
  </si>
  <si>
    <t>ORD-10082</t>
  </si>
  <si>
    <t>ORD-10083</t>
  </si>
  <si>
    <t>Rahul Mehta</t>
  </si>
  <si>
    <t>ORD-10084</t>
  </si>
  <si>
    <t>ORD-10085</t>
  </si>
  <si>
    <t>ORD-10086</t>
  </si>
  <si>
    <t>Neha Gupta</t>
  </si>
  <si>
    <t>ORD-10087</t>
  </si>
  <si>
    <t>ORD-10088</t>
  </si>
  <si>
    <t>Arjun Khan</t>
  </si>
  <si>
    <t>ORD-10089</t>
  </si>
  <si>
    <t>Arjun Yadav</t>
  </si>
  <si>
    <t xml:space="preserve">UPI </t>
  </si>
  <si>
    <t>ORD-10090</t>
  </si>
  <si>
    <t>Rahul Gupta</t>
  </si>
  <si>
    <t>ORD-10091</t>
  </si>
  <si>
    <t>ORD-10092</t>
  </si>
  <si>
    <t>ORD-10093</t>
  </si>
  <si>
    <t>ORD-10094</t>
  </si>
  <si>
    <t>ORD-10095</t>
  </si>
  <si>
    <t>Neha Yadav</t>
  </si>
  <si>
    <t>ORD-10096</t>
  </si>
  <si>
    <t>ORD-10097</t>
  </si>
  <si>
    <t>Ananya Patel</t>
  </si>
  <si>
    <t>ORD-10098</t>
  </si>
  <si>
    <t>ORD-10099</t>
  </si>
  <si>
    <t>ORD-10100</t>
  </si>
  <si>
    <t>ORD-10101</t>
  </si>
  <si>
    <t>Rohan Mehta</t>
  </si>
  <si>
    <t>ORD-10102</t>
  </si>
  <si>
    <t>ORD-10103</t>
  </si>
  <si>
    <t>ORD-10104</t>
  </si>
  <si>
    <t>ORD-10105</t>
  </si>
  <si>
    <t>ORD-10106</t>
  </si>
  <si>
    <t>Kavya Mehta</t>
  </si>
  <si>
    <t>ORD-10107</t>
  </si>
  <si>
    <t>Priya Singh</t>
  </si>
  <si>
    <t>ORD-10108</t>
  </si>
  <si>
    <t>ORD-10109</t>
  </si>
  <si>
    <t>ORD-10110</t>
  </si>
  <si>
    <t>Ananya Yadav</t>
  </si>
  <si>
    <t>ORD-10111</t>
  </si>
  <si>
    <t>Sneha Khan</t>
  </si>
  <si>
    <t>ORD-10112</t>
  </si>
  <si>
    <t>ORD-10113</t>
  </si>
  <si>
    <t>ORD-10114</t>
  </si>
  <si>
    <t>ORD-10115</t>
  </si>
  <si>
    <t>Priya Verma</t>
  </si>
  <si>
    <t>ORD-10116</t>
  </si>
  <si>
    <t>ORD-10117</t>
  </si>
  <si>
    <t>ORD-10118</t>
  </si>
  <si>
    <t>Vihaan Jain</t>
  </si>
  <si>
    <t>ORD-10119</t>
  </si>
  <si>
    <t>ORD-10120</t>
  </si>
  <si>
    <t>Priya Mehta</t>
  </si>
  <si>
    <t>ORD-10121</t>
  </si>
  <si>
    <t>ORD-10122</t>
  </si>
  <si>
    <t>ORD-10123</t>
  </si>
  <si>
    <t>ORD-10124</t>
  </si>
  <si>
    <t>ORD-10125</t>
  </si>
  <si>
    <t>ORD-10126</t>
  </si>
  <si>
    <t>ORD-10127</t>
  </si>
  <si>
    <t>ORD-10128</t>
  </si>
  <si>
    <t>ORD-10129</t>
  </si>
  <si>
    <t>ORD-10130</t>
  </si>
  <si>
    <t>Isha Khan</t>
  </si>
  <si>
    <t>ORD-10131</t>
  </si>
  <si>
    <t>ORD-10132</t>
  </si>
  <si>
    <t>ORD-10133</t>
  </si>
  <si>
    <t>Sneha Patel</t>
  </si>
  <si>
    <t>ORD-10134</t>
  </si>
  <si>
    <t>Sneha Mehta</t>
  </si>
  <si>
    <t>ORD-10135</t>
  </si>
  <si>
    <t>Rahul Patel</t>
  </si>
  <si>
    <t>ORD-10136</t>
  </si>
  <si>
    <t>ORD-10137</t>
  </si>
  <si>
    <t>ORD-10138</t>
  </si>
  <si>
    <t>ORD-10139</t>
  </si>
  <si>
    <t>ORD-10140</t>
  </si>
  <si>
    <t>ORD-10141</t>
  </si>
  <si>
    <t xml:space="preserve">Indore </t>
  </si>
  <si>
    <t>ORD-10142</t>
  </si>
  <si>
    <t>ORD-10143</t>
  </si>
  <si>
    <t>ORD-10144</t>
  </si>
  <si>
    <t>ORD-10145</t>
  </si>
  <si>
    <t>ORD-10146</t>
  </si>
  <si>
    <t>Arjun Patel</t>
  </si>
  <si>
    <t>ORD-10147</t>
  </si>
  <si>
    <t>ORD-10148</t>
  </si>
  <si>
    <t>ORD-10149</t>
  </si>
  <si>
    <t>ORD-10150</t>
  </si>
  <si>
    <t>ORD-10151</t>
  </si>
  <si>
    <t>ORD-10152</t>
  </si>
  <si>
    <t>ORD-10153</t>
  </si>
  <si>
    <t>Ananya Verma</t>
  </si>
  <si>
    <t>ORD-10154</t>
  </si>
  <si>
    <t>ORD-10155</t>
  </si>
  <si>
    <t>Isha Gupta</t>
  </si>
  <si>
    <t>ORD-10156</t>
  </si>
  <si>
    <t>ORD-10157</t>
  </si>
  <si>
    <t>ORD-10158</t>
  </si>
  <si>
    <t>ORD-10159</t>
  </si>
  <si>
    <t>Kavya Yadav</t>
  </si>
  <si>
    <t>ORD-10160</t>
  </si>
  <si>
    <t>ORD-10161</t>
  </si>
  <si>
    <t>ORD-10162</t>
  </si>
  <si>
    <t>ORD-10163</t>
  </si>
  <si>
    <t>ORD-10164</t>
  </si>
  <si>
    <t>ORD-10165</t>
  </si>
  <si>
    <t>ORD-10166</t>
  </si>
  <si>
    <t>ORD-10167</t>
  </si>
  <si>
    <t>ORD-10168</t>
  </si>
  <si>
    <t>ORD-10169</t>
  </si>
  <si>
    <t>ORD-10170</t>
  </si>
  <si>
    <t>ORD-10171</t>
  </si>
  <si>
    <t>Neha Sharma</t>
  </si>
  <si>
    <t>ORD-10172</t>
  </si>
  <si>
    <t>ORD-10173</t>
  </si>
  <si>
    <t>ORD-10174</t>
  </si>
  <si>
    <t>ORD-10175</t>
  </si>
  <si>
    <t>Isha Sharma</t>
  </si>
  <si>
    <t>ORD-10176</t>
  </si>
  <si>
    <t>ORD-10177</t>
  </si>
  <si>
    <t>ORD-10178</t>
  </si>
  <si>
    <t>ORD-10179</t>
  </si>
  <si>
    <t>ORD-10180</t>
  </si>
  <si>
    <t>ORD-10181</t>
  </si>
  <si>
    <t>ORD-10182</t>
  </si>
  <si>
    <t>ORD-10183</t>
  </si>
  <si>
    <t>ORD-10184</t>
  </si>
  <si>
    <t>ORD-10185</t>
  </si>
  <si>
    <t>Vihaan Patel</t>
  </si>
  <si>
    <t>ORD-10186</t>
  </si>
  <si>
    <t>Aditya Patel</t>
  </si>
  <si>
    <t>ORD-10187</t>
  </si>
  <si>
    <t>ORD-10188</t>
  </si>
  <si>
    <t>ORD-10189</t>
  </si>
  <si>
    <t>ORD-10190</t>
  </si>
  <si>
    <t>ORD-10191</t>
  </si>
  <si>
    <t>Aarav Joshi</t>
  </si>
  <si>
    <t>ORD-10192</t>
  </si>
  <si>
    <t>ORD-10193</t>
  </si>
  <si>
    <t>ORD-10194</t>
  </si>
  <si>
    <t>ORD-10195</t>
  </si>
  <si>
    <t>ORD-10196</t>
  </si>
  <si>
    <t>ORD-10197</t>
  </si>
  <si>
    <t>ORD-10198</t>
  </si>
  <si>
    <t>ORD-10199</t>
  </si>
  <si>
    <t>ORD-10200</t>
  </si>
  <si>
    <t>Ananya Joshi</t>
  </si>
  <si>
    <t>ORD-10201</t>
  </si>
  <si>
    <t>ORD-10202</t>
  </si>
  <si>
    <t>ORD-10203</t>
  </si>
  <si>
    <t>ORD-10204</t>
  </si>
  <si>
    <t>ORD-10205</t>
  </si>
  <si>
    <t>ORD-10206</t>
  </si>
  <si>
    <t>ORD-10207</t>
  </si>
  <si>
    <t>ORD-10208</t>
  </si>
  <si>
    <t>Arjun Gupta</t>
  </si>
  <si>
    <t>ORD-10209</t>
  </si>
  <si>
    <t>Vihaan Sharma</t>
  </si>
  <si>
    <t>ORD-10210</t>
  </si>
  <si>
    <t>Neha Jain</t>
  </si>
  <si>
    <t>ORD-10211</t>
  </si>
  <si>
    <t>electronics</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</si>
  <si>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</si>
  <si>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</si>
  <si>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</si>
  <si>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</si>
  <si>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</si>
  <si>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</si>
  <si>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</si>
  <si>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</si>
  <si>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</si>
  <si>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</si>
  <si>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</si>
  <si>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</si>
  <si>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</si>
  <si>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</si>
  <si>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</si>
  <si>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</si>
  <si>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</si>
  <si>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Rahul Verma</t>
  </si>
  <si>
    <t>ORD-10229</t>
  </si>
  <si>
    <t>ORD-10230</t>
  </si>
  <si>
    <t>Aarav Khan</t>
  </si>
  <si>
    <t>ORD-10231</t>
  </si>
  <si>
    <t>Priya Gupta</t>
  </si>
  <si>
    <t>ORD-10232</t>
  </si>
  <si>
    <t>ORD-10233</t>
  </si>
  <si>
    <t>ORD-10234</t>
  </si>
  <si>
    <t>ORD-10235</t>
  </si>
  <si>
    <t>ORD-10236</t>
  </si>
  <si>
    <t>ORD-10237</t>
  </si>
  <si>
    <t>ORD-10238</t>
  </si>
  <si>
    <t>Rohan Yadav</t>
  </si>
  <si>
    <t>ORD-10239</t>
  </si>
  <si>
    <t>ORD-10240</t>
  </si>
  <si>
    <t>ORD-10241</t>
  </si>
  <si>
    <t>Ananya Singh</t>
  </si>
  <si>
    <t>ORD-10242</t>
  </si>
  <si>
    <t>ORD-10243</t>
  </si>
  <si>
    <t>ORD-10244</t>
  </si>
  <si>
    <t>ORD-10245</t>
  </si>
  <si>
    <t>ORD-10246</t>
  </si>
  <si>
    <t>Kavya Singh</t>
  </si>
  <si>
    <t>ORD-10247</t>
  </si>
  <si>
    <t>ORD-10248</t>
  </si>
  <si>
    <t>ORD-10249</t>
  </si>
  <si>
    <t>Vihaan Yadav</t>
  </si>
  <si>
    <t>ORD-10250</t>
  </si>
  <si>
    <t>ORD-10251</t>
  </si>
  <si>
    <t>ORD-10252</t>
  </si>
  <si>
    <t>ORD-10253</t>
  </si>
  <si>
    <t>ORD-10254</t>
  </si>
  <si>
    <t>Vihaan Gupta</t>
  </si>
  <si>
    <t>ORD-10255</t>
  </si>
  <si>
    <t>Rohan Sharma</t>
  </si>
  <si>
    <t>ORD-10256</t>
  </si>
  <si>
    <t>ORD-10257</t>
  </si>
  <si>
    <t>ORD-10258</t>
  </si>
  <si>
    <t>Vihaan Joshi</t>
  </si>
  <si>
    <t>ORD-10259</t>
  </si>
  <si>
    <t>ORD-10260</t>
  </si>
  <si>
    <t>ORD-10261</t>
  </si>
  <si>
    <t>Kavya Gupta</t>
  </si>
  <si>
    <t>ORD-10262</t>
  </si>
  <si>
    <t>ORD-10263</t>
  </si>
  <si>
    <t>Priya Patel</t>
  </si>
  <si>
    <t>ORD-10264</t>
  </si>
  <si>
    <t>ORD-10265</t>
  </si>
  <si>
    <t>Vihaan Singh</t>
  </si>
  <si>
    <t>ORD-10266</t>
  </si>
  <si>
    <t>ORD-10267</t>
  </si>
  <si>
    <t>ORD-10268</t>
  </si>
  <si>
    <t>ORD-10269</t>
  </si>
  <si>
    <t>Rohan Singh</t>
  </si>
  <si>
    <t>ORD-10270</t>
  </si>
  <si>
    <t>ORD-10271</t>
  </si>
  <si>
    <t>ORD-10272</t>
  </si>
  <si>
    <t>ORD-10273</t>
  </si>
  <si>
    <t>Rahul Joshi</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</si>
  <si>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</si>
  <si>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</si>
  <si>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</si>
  <si>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</si>
  <si>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</si>
  <si>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</si>
  <si>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</si>
  <si>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</si>
  <si>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</si>
  <si>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</si>
  <si>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</si>
  <si>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</si>
  <si>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</si>
  <si>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</si>
  <si>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</si>
  <si>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</si>
  <si>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</si>
  <si>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</si>
  <si>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Rohan Verma</t>
  </si>
  <si>
    <t>ORD-10292</t>
  </si>
  <si>
    <t>ORD-10293</t>
  </si>
  <si>
    <t>ORD-10294</t>
  </si>
  <si>
    <t>ORD-10295</t>
  </si>
  <si>
    <t>ORD-10296</t>
  </si>
  <si>
    <t>ORD-10297</t>
  </si>
  <si>
    <t>ORD-10298</t>
  </si>
  <si>
    <t>ORD-10299</t>
  </si>
  <si>
    <t>ORD-10300</t>
  </si>
  <si>
    <t>ORD-10301</t>
  </si>
  <si>
    <t>ORD-10302</t>
  </si>
  <si>
    <t>ORD-10303</t>
  </si>
  <si>
    <t>ORD-10304</t>
  </si>
  <si>
    <t>Ananya Khan</t>
  </si>
  <si>
    <t>ORD-10305</t>
  </si>
  <si>
    <t>ORD-10306</t>
  </si>
  <si>
    <t>ORD-10307</t>
  </si>
  <si>
    <t>ORD-10308</t>
  </si>
  <si>
    <t>ORD-10309</t>
  </si>
  <si>
    <t>ORD-10310</t>
  </si>
  <si>
    <t>ORD-10311</t>
  </si>
  <si>
    <t>ORD-10312</t>
  </si>
  <si>
    <t>ORD-10313</t>
  </si>
  <si>
    <t>ORD-10314</t>
  </si>
  <si>
    <t>Sneha Jain</t>
  </si>
  <si>
    <t>ORD-10315</t>
  </si>
  <si>
    <t>ORD-10316</t>
  </si>
  <si>
    <t>ORD-10317</t>
  </si>
  <si>
    <t>ORD-10318</t>
  </si>
  <si>
    <t>ORD-10319</t>
  </si>
  <si>
    <t>ORD-10320</t>
  </si>
  <si>
    <t>ORD-10321</t>
  </si>
  <si>
    <t>ORD-10322</t>
  </si>
  <si>
    <t>ORD-10323</t>
  </si>
  <si>
    <t>Arjun Verma</t>
  </si>
  <si>
    <t>ORD-10324</t>
  </si>
  <si>
    <t>Aditya Verma</t>
  </si>
  <si>
    <t>ORD-10325</t>
  </si>
  <si>
    <t>ORD-10326</t>
  </si>
  <si>
    <t>ORD-10327</t>
  </si>
  <si>
    <t>Sneha Sharma</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</si>
  <si>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</si>
  <si>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</si>
  <si>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</si>
  <si>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</si>
  <si>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</si>
  <si>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</si>
  <si>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</si>
  <si>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</si>
  <si>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</si>
  <si>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</si>
  <si>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</si>
  <si>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</si>
  <si>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</si>
  <si>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</si>
  <si>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</si>
  <si>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</si>
  <si>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</si>
  <si>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</si>
  <si>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Kavya Sharma</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</si>
  <si>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</si>
  <si>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</si>
  <si>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</si>
  <si>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</si>
  <si>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</si>
  <si>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</si>
  <si>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</si>
  <si>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</si>
  <si>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</si>
  <si>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</si>
  <si>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</si>
  <si>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</si>
  <si>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</si>
  <si>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</si>
  <si>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</si>
  <si>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</si>
  <si>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</si>
  <si>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</si>
  <si>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</si>
  <si>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</si>
  <si>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</si>
  <si>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</si>
  <si>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</si>
  <si>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</si>
  <si>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</si>
  <si>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</si>
  <si>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</si>
  <si>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</si>
  <si>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</si>
  <si>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</si>
  <si>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</si>
  <si>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</si>
  <si>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</si>
  <si>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</si>
  <si>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</si>
  <si>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</si>
  <si>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</si>
  <si>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</si>
  <si>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</si>
  <si>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</si>
  <si>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</si>
  <si>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</si>
  <si>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</si>
  <si>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</si>
  <si>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</si>
  <si>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</si>
  <si>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</si>
  <si>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</si>
  <si>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</si>
  <si>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</si>
  <si>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</si>
  <si>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</si>
  <si>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</si>
  <si>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</si>
  <si>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</si>
  <si>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</si>
  <si>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</si>
  <si>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</si>
  <si>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</si>
  <si>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</si>
  <si>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</si>
  <si>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</si>
  <si>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</si>
  <si>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</si>
  <si>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</si>
  <si>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</si>
  <si>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</si>
  <si>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</si>
  <si>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</si>
  <si>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</si>
  <si>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</si>
  <si>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</si>
  <si>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</si>
  <si>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</si>
  <si>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</si>
  <si>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</si>
  <si>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</si>
  <si>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</si>
  <si>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</si>
  <si>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</si>
  <si>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</si>
  <si>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</si>
  <si>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</si>
  <si>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</si>
  <si>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</si>
  <si>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</si>
  <si>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</si>
  <si>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</si>
  <si>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</si>
  <si>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</si>
  <si>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</si>
  <si>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</si>
  <si>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</si>
  <si>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</si>
  <si>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</si>
  <si>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</si>
  <si>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</si>
  <si>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</si>
  <si>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Aarav Patel</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</si>
  <si>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</si>
  <si>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</si>
  <si>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</si>
  <si>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</si>
  <si>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</si>
  <si>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</si>
  <si>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</si>
  <si>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</si>
  <si>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</si>
  <si>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</si>
  <si>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</si>
  <si>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</si>
  <si>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</si>
  <si>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</si>
  <si>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</si>
  <si>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</si>
  <si>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</si>
  <si>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</si>
  <si>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</si>
  <si>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</si>
  <si>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</si>
  <si>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</si>
  <si>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</si>
  <si>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</si>
  <si>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</si>
  <si>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</si>
  <si>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</si>
  <si>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</si>
  <si>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</si>
  <si>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</si>
  <si>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</si>
  <si>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</si>
  <si>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</si>
  <si>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</si>
  <si>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</si>
  <si>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</si>
  <si>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</si>
  <si>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</si>
  <si>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</si>
  <si>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</si>
  <si>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</si>
  <si>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</si>
  <si>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</si>
  <si>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</si>
  <si>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</si>
  <si>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</si>
  <si>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</si>
  <si>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</si>
  <si>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</si>
  <si>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</si>
  <si>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</si>
  <si>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</si>
  <si>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</si>
  <si>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</si>
  <si>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</si>
  <si>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</si>
  <si>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unknown</t>
  </si>
  <si>
    <t>Sales Performance Analysis</t>
  </si>
  <si>
    <t>KPI</t>
  </si>
  <si>
    <t>Value</t>
  </si>
  <si>
    <t>Total Sales</t>
  </si>
  <si>
    <t>Total Profit</t>
  </si>
  <si>
    <t>Total Quantity</t>
  </si>
  <si>
    <t>Total Orders</t>
  </si>
  <si>
    <t>Average Order Value</t>
  </si>
  <si>
    <t>Profit Margin</t>
  </si>
  <si>
    <t>Customer_Name</t>
  </si>
  <si>
    <t>Payment_Mode</t>
  </si>
  <si>
    <t>Month</t>
  </si>
  <si>
    <t>MONTH</t>
  </si>
  <si>
    <t>Orders</t>
  </si>
  <si>
    <t>Sum of Sales</t>
  </si>
  <si>
    <t>Row Labels</t>
  </si>
  <si>
    <t>Grand Total</t>
  </si>
  <si>
    <t>Sum of Profit</t>
  </si>
  <si>
    <t>Count of Order ID</t>
  </si>
  <si>
    <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</si>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</sst>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dd/mmm/yyyy"/>
    <numFmt numFmtId="166" formatCode="&quot;₹&quot;#,##0.00"/>
  </numFmts>
  <fonts count="8" x14ac:knownFonts="1">
    <font>
      <sz val="11"/>
      <color theme="1"/>
      <name val="Calibri"/>
      <family val="2"/>
      <scheme val="minor"/>
    </font>
    <font>
      <b/>
      <sz val="11"/>
      <name val="Calibri"/>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name val="Calibri"/>
      <family val="2"/>
    </font>
    <font>
      <b/>
      <sz val="24"/>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5">
    <xf numFmtId="0" fontId="0" fillId="0" borderId="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xf numFmtId="9"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6" fontId="1" fillId="0" borderId="2" xfId="0" applyNumberFormat="1" applyFont="1" applyBorder="1" applyAlignment="1">
      <alignment horizontal="center" vertical="top"/>
    </xf>
    <xf numFmtId="9" fontId="1" fillId="0" borderId="2" xfId="0" applyNumberFormat="1" applyFont="1" applyBorder="1" applyAlignment="1">
      <alignment horizontal="center" vertical="top"/>
    </xf>
    <xf numFmtId="0" fontId="0" fillId="0" borderId="0" xfId="0" applyFont="1"/>
    <xf numFmtId="10" fontId="0" fillId="0" borderId="0" xfId="1" applyNumberFormat="1" applyFont="1"/>
    <xf numFmtId="0" fontId="6"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xf>
    <xf numFmtId="9" fontId="0" fillId="0" borderId="0" xfId="0" applyNumberFormat="1" applyAlignment="1">
      <alignment horizontal="left"/>
    </xf>
    <xf numFmtId="0" fontId="5" fillId="4" borderId="1" xfId="4" applyBorder="1"/>
    <xf numFmtId="166" fontId="5" fillId="4" borderId="1" xfId="4" applyNumberFormat="1" applyBorder="1"/>
    <xf numFmtId="0" fontId="4" fillId="3" borderId="1" xfId="3" applyBorder="1"/>
    <xf numFmtId="1" fontId="4" fillId="3" borderId="1" xfId="3" applyNumberFormat="1" applyBorder="1"/>
    <xf numFmtId="0" fontId="3" fillId="2" borderId="1" xfId="2" applyBorder="1"/>
    <xf numFmtId="166" fontId="3" fillId="2" borderId="1" xfId="2" applyNumberFormat="1" applyBorder="1"/>
    <xf numFmtId="10" fontId="3" fillId="2" borderId="1" xfId="2" applyNumberFormat="1" applyBorder="1"/>
    <xf numFmtId="0" fontId="7" fillId="0" borderId="0" xfId="0" applyFont="1" applyAlignment="1">
      <alignment horizontal="center"/>
    </xf>
    <xf numFmtId="0" fontId="0" fillId="0" borderId="0" xfId="0" applyAlignment="1">
      <alignment horizontal="center"/>
    </xf>
  </cellXfs>
  <cellStyles count="5">
    <cellStyle name="Bad" xfId="3" builtinId="27"/>
    <cellStyle name="Good" xfId="2" builtinId="26"/>
    <cellStyle name="Neutral" xfId="4" builtinId="28"/>
    <cellStyle name="Normal" xfId="0" builtinId="0"/>
    <cellStyle name="Percent" xfId="1" builtinId="5"/>
  </cellStyles>
  <dxfs count="8">
    <dxf>
      <numFmt numFmtId="19" formatCode="dd/mm/yyyy"/>
    </dxf>
    <dxf>
      <numFmt numFmtId="13" formatCode="0%"/>
    </dxf>
    <dxf>
      <numFmt numFmtId="166" formatCode="&quot;₹&quot;#,##0.00"/>
    </dxf>
    <dxf>
      <numFmt numFmtId="165"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(1).xlsx]Sheet10!PivotTable7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cat>
            <c:strRef>
              <c:f>Sheet10!$A$4:$A$16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Sheet10!$B$4:$B$16</c:f>
              <c:numCache>
                <c:formatCode>General</c:formatCode>
                <c:ptCount val="12"/>
                <c:pt idx="0">
                  <c:v>1714192.45</c:v>
                </c:pt>
                <c:pt idx="1">
                  <c:v>1244194.45</c:v>
                </c:pt>
                <c:pt idx="2">
                  <c:v>1427742.8100000003</c:v>
                </c:pt>
                <c:pt idx="3">
                  <c:v>1730809.9500000002</c:v>
                </c:pt>
                <c:pt idx="4">
                  <c:v>2189742.83</c:v>
                </c:pt>
                <c:pt idx="5">
                  <c:v>1112397.8799999999</c:v>
                </c:pt>
                <c:pt idx="6">
                  <c:v>1687159.0800000003</c:v>
                </c:pt>
                <c:pt idx="7">
                  <c:v>1262631.1799999997</c:v>
                </c:pt>
                <c:pt idx="8">
                  <c:v>963699.98000000021</c:v>
                </c:pt>
                <c:pt idx="9">
                  <c:v>1129900.4000000001</c:v>
                </c:pt>
                <c:pt idx="10">
                  <c:v>1621642.13</c:v>
                </c:pt>
                <c:pt idx="11">
                  <c:v>1473823.3499999999</c:v>
                </c:pt>
              </c:numCache>
            </c:numRef>
          </c:val>
          <c:smooth val="0"/>
          <c:extLst>
            <c:ext xmlns:c16="http://schemas.microsoft.com/office/drawing/2014/chart" uri="{C3380CC4-5D6E-409C-BE32-E72D297353CC}">
              <c16:uniqueId val="{00000000-52CB-4CAC-9310-E390B601E500}"/>
            </c:ext>
          </c:extLst>
        </c:ser>
        <c:dLbls>
          <c:showLegendKey val="0"/>
          <c:showVal val="0"/>
          <c:showCatName val="0"/>
          <c:showSerName val="0"/>
          <c:showPercent val="0"/>
          <c:showBubbleSize val="0"/>
        </c:dLbls>
        <c:smooth val="0"/>
        <c:axId val="1391820544"/>
        <c:axId val="1679320848"/>
      </c:lineChart>
      <c:catAx>
        <c:axId val="139182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20848"/>
        <c:crosses val="autoZero"/>
        <c:auto val="1"/>
        <c:lblAlgn val="ctr"/>
        <c:lblOffset val="100"/>
        <c:noMultiLvlLbl val="0"/>
      </c:catAx>
      <c:valAx>
        <c:axId val="16793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8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(1).xlsx]Category_Analysis!PivotTable2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Category_Analysis!$A$4:$A$8</c:f>
              <c:strCache>
                <c:ptCount val="4"/>
                <c:pt idx="0">
                  <c:v>Accessories</c:v>
                </c:pt>
                <c:pt idx="1">
                  <c:v>Electronics</c:v>
                </c:pt>
                <c:pt idx="2">
                  <c:v>Furniture</c:v>
                </c:pt>
                <c:pt idx="3">
                  <c:v>Office Supplies</c:v>
                </c:pt>
              </c:strCache>
            </c:strRef>
          </c:cat>
          <c:val>
            <c:numRef>
              <c:f>Category_Analysis!$B$4:$B$8</c:f>
              <c:numCache>
                <c:formatCode>General</c:formatCode>
                <c:ptCount val="4"/>
                <c:pt idx="0">
                  <c:v>95943.01</c:v>
                </c:pt>
                <c:pt idx="1">
                  <c:v>2298256.8500000006</c:v>
                </c:pt>
                <c:pt idx="2">
                  <c:v>408219.80000000016</c:v>
                </c:pt>
                <c:pt idx="3">
                  <c:v>428978.66000000009</c:v>
                </c:pt>
              </c:numCache>
            </c:numRef>
          </c:val>
          <c:extLst>
            <c:ext xmlns:c16="http://schemas.microsoft.com/office/drawing/2014/chart" uri="{C3380CC4-5D6E-409C-BE32-E72D297353CC}">
              <c16:uniqueId val="{00000000-E06D-4CD4-A910-F2683217EC5E}"/>
            </c:ext>
          </c:extLst>
        </c:ser>
        <c:dLbls>
          <c:showLegendKey val="0"/>
          <c:showVal val="0"/>
          <c:showCatName val="0"/>
          <c:showSerName val="0"/>
          <c:showPercent val="0"/>
          <c:showBubbleSize val="0"/>
        </c:dLbls>
        <c:gapWidth val="219"/>
        <c:overlap val="-27"/>
        <c:axId val="1680488432"/>
        <c:axId val="1559009872"/>
      </c:barChart>
      <c:catAx>
        <c:axId val="16804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09872"/>
        <c:crosses val="autoZero"/>
        <c:auto val="1"/>
        <c:lblAlgn val="ctr"/>
        <c:lblOffset val="100"/>
        <c:noMultiLvlLbl val="0"/>
      </c:catAx>
      <c:valAx>
        <c:axId val="155900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(1).xlsx]Product_Analysis!PivotTable3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layout>
        <c:manualLayout>
          <c:xMode val="edge"/>
          <c:yMode val="edge"/>
          <c:x val="0.30638888888888888"/>
          <c:y val="0.1100904053659959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Product_Analysis!$B$3</c:f>
              <c:strCache>
                <c:ptCount val="1"/>
                <c:pt idx="0">
                  <c:v>Total</c:v>
                </c:pt>
              </c:strCache>
            </c:strRef>
          </c:tx>
          <c:spPr>
            <a:solidFill>
              <a:schemeClr val="accent1"/>
            </a:solidFill>
            <a:ln>
              <a:noFill/>
            </a:ln>
            <a:effectLst/>
          </c:spPr>
          <c:invertIfNegative val="0"/>
          <c:cat>
            <c:strRef>
              <c:f>Product_Analysis!$A$4:$A$14</c:f>
              <c:strCache>
                <c:ptCount val="10"/>
                <c:pt idx="0">
                  <c:v>Laptop</c:v>
                </c:pt>
                <c:pt idx="1">
                  <c:v>Smartphone</c:v>
                </c:pt>
                <c:pt idx="2">
                  <c:v>Tablet</c:v>
                </c:pt>
                <c:pt idx="3">
                  <c:v>Printer</c:v>
                </c:pt>
                <c:pt idx="4">
                  <c:v>Monitor</c:v>
                </c:pt>
                <c:pt idx="5">
                  <c:v>Desk</c:v>
                </c:pt>
                <c:pt idx="6">
                  <c:v>Office Chair</c:v>
                </c:pt>
                <c:pt idx="7">
                  <c:v>Headphones</c:v>
                </c:pt>
                <c:pt idx="8">
                  <c:v>Keyboard</c:v>
                </c:pt>
                <c:pt idx="9">
                  <c:v>Backpack</c:v>
                </c:pt>
              </c:strCache>
            </c:strRef>
          </c:cat>
          <c:val>
            <c:numRef>
              <c:f>Product_Analysis!$B$4:$B$14</c:f>
              <c:numCache>
                <c:formatCode>General</c:formatCode>
                <c:ptCount val="10"/>
                <c:pt idx="0">
                  <c:v>4403293.9399999995</c:v>
                </c:pt>
                <c:pt idx="1">
                  <c:v>3134954.6900000004</c:v>
                </c:pt>
                <c:pt idx="2">
                  <c:v>2288679.1399999997</c:v>
                </c:pt>
                <c:pt idx="3">
                  <c:v>2261542.4499999997</c:v>
                </c:pt>
                <c:pt idx="4">
                  <c:v>2177998.59</c:v>
                </c:pt>
                <c:pt idx="5">
                  <c:v>1477105.4300000004</c:v>
                </c:pt>
                <c:pt idx="6">
                  <c:v>911375.98</c:v>
                </c:pt>
                <c:pt idx="7">
                  <c:v>366512.82</c:v>
                </c:pt>
                <c:pt idx="8">
                  <c:v>256848.36</c:v>
                </c:pt>
                <c:pt idx="9">
                  <c:v>164309.67000000001</c:v>
                </c:pt>
              </c:numCache>
            </c:numRef>
          </c:val>
          <c:extLst>
            <c:ext xmlns:c16="http://schemas.microsoft.com/office/drawing/2014/chart" uri="{C3380CC4-5D6E-409C-BE32-E72D297353CC}">
              <c16:uniqueId val="{00000000-EB10-4D70-A3FF-596E2CBB38A6}"/>
            </c:ext>
          </c:extLst>
        </c:ser>
        <c:dLbls>
          <c:showLegendKey val="0"/>
          <c:showVal val="0"/>
          <c:showCatName val="0"/>
          <c:showSerName val="0"/>
          <c:showPercent val="0"/>
          <c:showBubbleSize val="0"/>
        </c:dLbls>
        <c:gapWidth val="219"/>
        <c:overlap val="-27"/>
        <c:axId val="816917231"/>
        <c:axId val="709517199"/>
      </c:barChart>
      <c:catAx>
        <c:axId val="81691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17199"/>
        <c:crosses val="autoZero"/>
        <c:auto val="1"/>
        <c:lblAlgn val="ctr"/>
        <c:lblOffset val="100"/>
        <c:noMultiLvlLbl val="0"/>
      </c:catAx>
      <c:valAx>
        <c:axId val="7095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91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(1).xlsx]State_Analysis!PivotTable4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State</a:t>
            </a:r>
            <a:endParaRPr lang="en-US"/>
          </a:p>
        </c:rich>
      </c:tx>
      <c:layout>
        <c:manualLayout>
          <c:xMode val="edge"/>
          <c:yMode val="edge"/>
          <c:x val="0.37305555555555558"/>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State_Analysis!$B$3</c:f>
              <c:strCache>
                <c:ptCount val="1"/>
                <c:pt idx="0">
                  <c:v>Total</c:v>
                </c:pt>
              </c:strCache>
            </c:strRef>
          </c:tx>
          <c:spPr>
            <a:solidFill>
              <a:schemeClr val="accent1"/>
            </a:solidFill>
            <a:ln>
              <a:noFill/>
            </a:ln>
            <a:effectLst/>
          </c:spPr>
          <c:invertIfNegative val="0"/>
          <c:cat>
            <c:strRef>
              <c:f>State_Analysis!$A$4:$A$14</c:f>
              <c:strCache>
                <c:ptCount val="10"/>
                <c:pt idx="0">
                  <c:v>Delhi</c:v>
                </c:pt>
                <c:pt idx="1">
                  <c:v>Gujarat</c:v>
                </c:pt>
                <c:pt idx="2">
                  <c:v>Karnataka</c:v>
                </c:pt>
                <c:pt idx="3">
                  <c:v>Madhya Pradesh</c:v>
                </c:pt>
                <c:pt idx="4">
                  <c:v>Maharashtra</c:v>
                </c:pt>
                <c:pt idx="5">
                  <c:v>Rajasthan</c:v>
                </c:pt>
                <c:pt idx="6">
                  <c:v>Tamil Nadu</c:v>
                </c:pt>
                <c:pt idx="7">
                  <c:v>Telangana</c:v>
                </c:pt>
                <c:pt idx="8">
                  <c:v>Uttar Pradesh</c:v>
                </c:pt>
                <c:pt idx="9">
                  <c:v>West Bengal</c:v>
                </c:pt>
              </c:strCache>
            </c:strRef>
          </c:cat>
          <c:val>
            <c:numRef>
              <c:f>State_Analysis!$B$4:$B$14</c:f>
              <c:numCache>
                <c:formatCode>General</c:formatCode>
                <c:ptCount val="10"/>
                <c:pt idx="0">
                  <c:v>1690873.4799999997</c:v>
                </c:pt>
                <c:pt idx="1">
                  <c:v>1186025.3699999999</c:v>
                </c:pt>
                <c:pt idx="2">
                  <c:v>2099077.9900000002</c:v>
                </c:pt>
                <c:pt idx="3">
                  <c:v>2267761.9400000004</c:v>
                </c:pt>
                <c:pt idx="4">
                  <c:v>2836569.1199999987</c:v>
                </c:pt>
                <c:pt idx="5">
                  <c:v>1171051.0100000005</c:v>
                </c:pt>
                <c:pt idx="6">
                  <c:v>1181840.53</c:v>
                </c:pt>
                <c:pt idx="7">
                  <c:v>2054752.51</c:v>
                </c:pt>
                <c:pt idx="8">
                  <c:v>1698000.37</c:v>
                </c:pt>
                <c:pt idx="9">
                  <c:v>1371984.17</c:v>
                </c:pt>
              </c:numCache>
            </c:numRef>
          </c:val>
          <c:extLst>
            <c:ext xmlns:c16="http://schemas.microsoft.com/office/drawing/2014/chart" uri="{C3380CC4-5D6E-409C-BE32-E72D297353CC}">
              <c16:uniqueId val="{00000000-08E7-4BE6-9BCF-0C31F8C27FE9}"/>
            </c:ext>
          </c:extLst>
        </c:ser>
        <c:dLbls>
          <c:showLegendKey val="0"/>
          <c:showVal val="0"/>
          <c:showCatName val="0"/>
          <c:showSerName val="0"/>
          <c:showPercent val="0"/>
          <c:showBubbleSize val="0"/>
        </c:dLbls>
        <c:gapWidth val="219"/>
        <c:overlap val="-27"/>
        <c:axId val="965326655"/>
        <c:axId val="642380751"/>
      </c:barChart>
      <c:catAx>
        <c:axId val="9653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80751"/>
        <c:crosses val="autoZero"/>
        <c:auto val="1"/>
        <c:lblAlgn val="ctr"/>
        <c:lblOffset val="100"/>
        <c:noMultiLvlLbl val="0"/>
      </c:catAx>
      <c:valAx>
        <c:axId val="64238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2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(1).xlsx]Payment_Analysis!PivotTable5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Payment_Analysis!$B$3</c:f>
              <c:strCache>
                <c:ptCount val="1"/>
                <c:pt idx="0">
                  <c:v>Total</c:v>
                </c:pt>
              </c:strCache>
            </c:strRef>
          </c:tx>
          <c:spPr>
            <a:solidFill>
              <a:schemeClr val="accent1"/>
            </a:solidFill>
            <a:ln>
              <a:noFill/>
            </a:ln>
            <a:effectLst/>
          </c:spPr>
          <c:invertIfNegative val="0"/>
          <c:cat>
            <c:strRef>
              <c:f>Payment_Analysis!$A$4:$A$9</c:f>
              <c:strCache>
                <c:ptCount val="5"/>
                <c:pt idx="0">
                  <c:v>Cash</c:v>
                </c:pt>
                <c:pt idx="1">
                  <c:v>Credit Card</c:v>
                </c:pt>
                <c:pt idx="2">
                  <c:v>Debit Card</c:v>
                </c:pt>
                <c:pt idx="3">
                  <c:v>Net Banking</c:v>
                </c:pt>
                <c:pt idx="4">
                  <c:v>UPI</c:v>
                </c:pt>
              </c:strCache>
            </c:strRef>
          </c:cat>
          <c:val>
            <c:numRef>
              <c:f>Payment_Analysis!$B$4:$B$9</c:f>
              <c:numCache>
                <c:formatCode>General</c:formatCode>
                <c:ptCount val="5"/>
                <c:pt idx="0">
                  <c:v>3855465.84</c:v>
                </c:pt>
                <c:pt idx="1">
                  <c:v>3655034.8800000008</c:v>
                </c:pt>
                <c:pt idx="2">
                  <c:v>3152191.1299999994</c:v>
                </c:pt>
                <c:pt idx="3">
                  <c:v>3608827.9899999998</c:v>
                </c:pt>
                <c:pt idx="4">
                  <c:v>3286416.6500000013</c:v>
                </c:pt>
              </c:numCache>
            </c:numRef>
          </c:val>
          <c:extLst>
            <c:ext xmlns:c16="http://schemas.microsoft.com/office/drawing/2014/chart" uri="{C3380CC4-5D6E-409C-BE32-E72D297353CC}">
              <c16:uniqueId val="{00000000-9ECF-4EEA-AF8A-41EE945994BF}"/>
            </c:ext>
          </c:extLst>
        </c:ser>
        <c:dLbls>
          <c:showLegendKey val="0"/>
          <c:showVal val="0"/>
          <c:showCatName val="0"/>
          <c:showSerName val="0"/>
          <c:showPercent val="0"/>
          <c:showBubbleSize val="0"/>
        </c:dLbls>
        <c:gapWidth val="219"/>
        <c:overlap val="-27"/>
        <c:axId val="702561327"/>
        <c:axId val="817152239"/>
      </c:barChart>
      <c:catAx>
        <c:axId val="7025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152239"/>
        <c:crosses val="autoZero"/>
        <c:auto val="1"/>
        <c:lblAlgn val="ctr"/>
        <c:lblOffset val="100"/>
        <c:noMultiLvlLbl val="0"/>
      </c:catAx>
      <c:valAx>
        <c:axId val="81715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[Sales_Performance_Business_Dashboard_Dataset (1).xlsx]Category_Analysis!PivotTable2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layout>
        <c:manualLayout>
          <c:xMode val="edge"/>
          <c:yMode val="edge"/>
          <c:x val="0.3175000000000000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Category_Analysis!$A$4:$A$8</c:f>
              <c:strCache>
                <c:ptCount val="4"/>
                <c:pt idx="0">
                  <c:v>Accessories</c:v>
                </c:pt>
                <c:pt idx="1">
                  <c:v>Electronics</c:v>
                </c:pt>
                <c:pt idx="2">
                  <c:v>Furniture</c:v>
                </c:pt>
                <c:pt idx="3">
                  <c:v>Office Supplies</c:v>
                </c:pt>
              </c:strCache>
            </c:strRef>
          </c:cat>
          <c:val>
            <c:numRef>
              <c:f>Category_Analysis!$B$4:$B$8</c:f>
              <c:numCache>
                <c:formatCode>General</c:formatCode>
                <c:ptCount val="4"/>
                <c:pt idx="0">
                  <c:v>95943.01</c:v>
                </c:pt>
                <c:pt idx="1">
                  <c:v>2298256.8500000006</c:v>
                </c:pt>
                <c:pt idx="2">
                  <c:v>408219.80000000016</c:v>
                </c:pt>
                <c:pt idx="3">
                  <c:v>428978.66000000009</c:v>
                </c:pt>
              </c:numCache>
            </c:numRef>
          </c:val>
          <c:extLst>
            <c:ext xmlns:c16="http://schemas.microsoft.com/office/drawing/2014/chart" uri="{C3380CC4-5D6E-409C-BE32-E72D297353CC}">
              <c16:uniqueId val="{00000000-CB3F-46B6-A2CB-17283000A318}"/>
            </c:ext>
          </c:extLst>
        </c:ser>
        <c:dLbls>
          <c:showLegendKey val="0"/>
          <c:showVal val="0"/>
          <c:showCatName val="0"/>
          <c:showSerName val="0"/>
          <c:showPercent val="0"/>
          <c:showBubbleSize val="0"/>
        </c:dLbls>
        <c:gapWidth val="219"/>
        <c:overlap val="-27"/>
        <c:axId val="963477967"/>
        <c:axId val="817142255"/>
      </c:barChart>
      <c:catAx>
        <c:axId val="96347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142255"/>
        <c:crosses val="autoZero"/>
        <c:auto val="1"/>
        <c:lblAlgn val="ctr"/>
        <c:lblOffset val="100"/>
        <c:noMultiLvlLbl val="0"/>
      </c:catAx>
      <c:valAx>
        <c:axId val="81714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7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292100</xdr:colOff>
      <xdr:row>0</xdr:row>
      <xdr:rowOff>175260</xdr:rowOff>
    </xdr:from>
    <xdr:to>
      <xdr:col>19</xdr:col>
      <xdr:colOff>530860</xdr:colOff>
      <xdr:row>16</xdr:row>
      <xdr:rowOff>127000</xdr:rowOff>
    </xdr:to>
    <xdr:graphicFrame macro="">
      <xdr:nvGraphicFramePr>
        <xdr:cNvPr id="2" name="Monthly Sales Trend">
          <a:extLst>
            <a:ext uri="{FF2B5EF4-FFF2-40B4-BE49-F238E27FC236}">
              <a16:creationId xmlns:a16="http://schemas.microsoft.com/office/drawing/2014/main" id="{56265772-52C8-429B-9740-6ABA01606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515620</xdr:colOff>
      <xdr:row>0</xdr:row>
      <xdr:rowOff>193040</xdr:rowOff>
    </xdr:from>
    <xdr:to>
      <xdr:col>30</xdr:col>
      <xdr:colOff>152400</xdr:colOff>
      <xdr:row>16</xdr:row>
      <xdr:rowOff>127000</xdr:rowOff>
    </xdr:to>
    <xdr:graphicFrame macro="">
      <xdr:nvGraphicFramePr>
        <xdr:cNvPr id="3" name="Chart 2">
          <a:extLst>
            <a:ext uri="{FF2B5EF4-FFF2-40B4-BE49-F238E27FC236}">
              <a16:creationId xmlns:a16="http://schemas.microsoft.com/office/drawing/2014/main" id="{8B2040A5-7ED4-445E-BE75-A212DC99B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360680</xdr:colOff>
      <xdr:row>17</xdr:row>
      <xdr:rowOff>149860</xdr:rowOff>
    </xdr:from>
    <xdr:to>
      <xdr:col>20</xdr:col>
      <xdr:colOff>0</xdr:colOff>
      <xdr:row>33</xdr:row>
      <xdr:rowOff>127000</xdr:rowOff>
    </xdr:to>
    <xdr:graphicFrame macro="">
      <xdr:nvGraphicFramePr>
        <xdr:cNvPr id="4" name="Chart 3">
          <a:extLst>
            <a:ext uri="{FF2B5EF4-FFF2-40B4-BE49-F238E27FC236}">
              <a16:creationId xmlns:a16="http://schemas.microsoft.com/office/drawing/2014/main" id="{9E4B0329-0F4F-414A-A370-4F8C0389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375920</xdr:colOff>
      <xdr:row>34</xdr:row>
      <xdr:rowOff>157480</xdr:rowOff>
    </xdr:from>
    <xdr:to>
      <xdr:col>19</xdr:col>
      <xdr:colOff>584200</xdr:colOff>
      <xdr:row>49</xdr:row>
      <xdr:rowOff>157480</xdr:rowOff>
    </xdr:to>
    <xdr:graphicFrame macro="">
      <xdr:nvGraphicFramePr>
        <xdr:cNvPr id="6" name="Chart 5">
          <a:extLst>
            <a:ext uri="{FF2B5EF4-FFF2-40B4-BE49-F238E27FC236}">
              <a16:creationId xmlns:a16="http://schemas.microsoft.com/office/drawing/2014/main" id="{5F9FC161-D08A-4CD9-AFD7-8BB1C7D83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574040</xdr:colOff>
      <xdr:row>34</xdr:row>
      <xdr:rowOff>147320</xdr:rowOff>
    </xdr:from>
    <xdr:to>
      <xdr:col>29</xdr:col>
      <xdr:colOff>271780</xdr:colOff>
      <xdr:row>49</xdr:row>
      <xdr:rowOff>147320</xdr:rowOff>
    </xdr:to>
    <xdr:graphicFrame macro="">
      <xdr:nvGraphicFramePr>
        <xdr:cNvPr id="7" name="Chart 6">
          <a:extLst>
            <a:ext uri="{FF2B5EF4-FFF2-40B4-BE49-F238E27FC236}">
              <a16:creationId xmlns:a16="http://schemas.microsoft.com/office/drawing/2014/main" id="{9CC7EE54-09E5-49D4-B3F4-A7C074F37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599440</xdr:colOff>
      <xdr:row>18</xdr:row>
      <xdr:rowOff>10160</xdr:rowOff>
    </xdr:from>
    <xdr:to>
      <xdr:col>30</xdr:col>
      <xdr:colOff>139700</xdr:colOff>
      <xdr:row>33</xdr:row>
      <xdr:rowOff>165100</xdr:rowOff>
    </xdr:to>
    <xdr:graphicFrame macro="">
      <xdr:nvGraphicFramePr>
        <xdr:cNvPr id="8" name="Chart 7">
          <a:extLst>
            <a:ext uri="{FF2B5EF4-FFF2-40B4-BE49-F238E27FC236}">
              <a16:creationId xmlns:a16="http://schemas.microsoft.com/office/drawing/2014/main" id="{534535B0-0023-45C5-9D84-84FE3C818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xdr:colOff>
      <xdr:row>11</xdr:row>
      <xdr:rowOff>10160</xdr:rowOff>
    </xdr:from>
    <xdr:to>
      <xdr:col>2</xdr:col>
      <xdr:colOff>10160</xdr:colOff>
      <xdr:row>24</xdr:row>
      <xdr:rowOff>165735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190D2AD-F556-4471-A1AE-B4E7A7D846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2181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99060</xdr:rowOff>
    </xdr:from>
    <xdr:to>
      <xdr:col>1</xdr:col>
      <xdr:colOff>596900</xdr:colOff>
      <xdr:row>46</xdr:row>
      <xdr:rowOff>127000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721D7CE9-FC03-42E9-B775-AB9F81FB2B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759960"/>
              <a:ext cx="1828800" cy="376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416560</xdr:colOff>
      <xdr:row>10</xdr:row>
      <xdr:rowOff>162560</xdr:rowOff>
    </xdr:from>
    <xdr:to>
      <xdr:col>5</xdr:col>
      <xdr:colOff>22860</xdr:colOff>
      <xdr:row>24</xdr:row>
      <xdr:rowOff>140335</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D79511BD-D245-42C8-9B17-D88A2F2C1FB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258060" y="2156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429260</xdr:colOff>
      <xdr:row>25</xdr:row>
      <xdr:rowOff>111760</xdr:rowOff>
    </xdr:from>
    <xdr:to>
      <xdr:col>5</xdr:col>
      <xdr:colOff>35560</xdr:colOff>
      <xdr:row>46</xdr:row>
      <xdr:rowOff>165100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565577A-8325-4EB7-8822-3FF44521933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70760" y="4772660"/>
              <a:ext cx="1828800" cy="3787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kashiv" refreshedDate="46286.074766203703" createdVersion="6" refreshedVersion="6" minRefreshableVersion="3" recordCount="500" xr:uid="{C919CFD6-418F-46E6-B34B-27992FB6657C}">
  <cacheSource type="worksheet">
    <worksheetSource name="SalesData"/>
  </cacheSource>
  <cacheFields count="13">
    <cacheField name="Order ID" numFmtId="0">
      <sharedItems count="499">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Order Date" numFmtId="165">
      <sharedItems containsSemiMixedTypes="0" containsNonDate="0" containsDate="1" containsString="0" minDate="2025-01-01T00:00:00" maxDate="2026-01-01T00:00:00"/>
    </cacheField>
    <cacheField name="Customer_Name" numFmtId="0">
      <sharedItems/>
    </cacheField>
    <cacheField name="City" numFmtId="0">
      <sharedItems/>
    </cacheField>
    <cacheField name="State" numFmtId="0">
      <sharedItems count="10">
        <s v="Gujarat"/>
        <s v="Tamil Nadu"/>
        <s v="Rajasthan"/>
        <s v="Telangana"/>
        <s v="Madhya Pradesh"/>
        <s v="Karnataka"/>
        <s v="Maharashtra"/>
        <s v="West Bengal"/>
        <s v="Uttar Pradesh"/>
        <s v="Delhi"/>
      </sharedItems>
    </cacheField>
    <cacheField name="Product" numFmtId="0">
      <sharedItems count="12">
        <s v="Monitor"/>
        <s v="Desk"/>
        <s v="Smartphone"/>
        <s v="Backpack"/>
        <s v="Headphones"/>
        <s v="Notebook"/>
        <s v="Mouse"/>
        <s v="Tablet"/>
        <s v="Office Chair"/>
        <s v="Laptop"/>
        <s v="Printer"/>
        <s v="Keyboard"/>
      </sharedItems>
    </cacheField>
    <cacheField name="Category" numFmtId="0">
      <sharedItems count="4">
        <s v="Electronics"/>
        <s v="Furniture"/>
        <s v="Accessories"/>
        <s v="Office Supplies"/>
      </sharedItems>
    </cacheField>
    <cacheField name="Sales" numFmtId="166">
      <sharedItems containsString="0" containsBlank="1" containsNumber="1" minValue="173.49" maxValue="299475.24"/>
    </cacheField>
    <cacheField name="Quantity" numFmtId="0">
      <sharedItems containsSemiMixedTypes="0" containsString="0" containsNumber="1" containsInteger="1" minValue="1" maxValue="5"/>
    </cacheField>
    <cacheField name="Discount" numFmtId="9">
      <sharedItems containsSemiMixedTypes="0" containsString="0" containsNumber="1" minValue="0" maxValue="0.25" count="6">
        <n v="0.15"/>
        <n v="0.1"/>
        <n v="0.05"/>
        <n v="0.2"/>
        <n v="0"/>
        <n v="0.25"/>
      </sharedItems>
    </cacheField>
    <cacheField name="Profit" numFmtId="0">
      <sharedItems containsSemiMixedTypes="0" containsString="0" containsNumber="1" minValue="15.88" maxValue="63022.47"/>
    </cacheField>
    <cacheField name="Payment_Mode" numFmtId="0">
      <sharedItems count="5">
        <s v="Debit Card"/>
        <s v="Cash"/>
        <s v="UPI"/>
        <s v="Credit Card"/>
        <s v="Net Banking"/>
      </sharedItems>
    </cacheField>
    <cacheField name="MONTH" numFmtId="14">
      <sharedItems containsNonDate="0" containsDate="1" containsMixedTypes="1" minDate="2025-01-01T00:00:00" maxDate="2025-12-02T00:00:00" count="24">
        <d v="2025-01-01T00:00:00"/>
        <d v="2025-02-01T00:00:00"/>
        <d v="2025-03-01T00:00:00"/>
        <d v="2025-04-01T00:00:00"/>
        <d v="2025-05-01T00:00:00"/>
        <d v="2025-06-01T00:00:00"/>
        <d v="2025-07-01T00:00:00"/>
        <d v="2025-08-01T00:00:00"/>
        <d v="2025-09-01T00:00:00"/>
        <d v="2025-10-01T00:00:00"/>
        <d v="2025-11-01T00:00:00"/>
        <d v="2025-12-01T00:00:00"/>
        <s v="Jul-2025" u="1"/>
        <s v="Mar-2025" u="1"/>
        <s v="Aug-2025" u="1"/>
        <s v="Jun-2025" u="1"/>
        <s v="May-2025" u="1"/>
        <s v="Sep-2025" u="1"/>
        <s v="Jan-2025" u="1"/>
        <s v="Feb-2025" u="1"/>
        <s v="Apr-2025" u="1"/>
        <s v="Nov-2025" u="1"/>
        <s v="Dec-2025" u="1"/>
        <s v="Oct-2025" u="1"/>
      </sharedItems>
    </cacheField>
  </cacheFields>
  <extLst>
    <ext xmlns:x14="http://schemas.microsoft.com/office/spreadsheetml/2009/9/main" uri="{725AE2AE-9491-48be-B2B4-4EB974FC3084}">
      <x14:pivotCacheDefinition pivotCacheId="138055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5-01-01T00:00:00"/>
    <s v="Kavya Verma"/>
    <s v="Ahmedabad"/>
    <x v="0"/>
    <x v="0"/>
    <x v="0"/>
    <n v="53849.31"/>
    <n v="5"/>
    <x v="0"/>
    <n v="10735.94"/>
    <x v="0"/>
    <x v="0"/>
  </r>
  <r>
    <x v="1"/>
    <d v="2025-01-01T17:30:25"/>
    <s v="Vihaan Mehta"/>
    <s v="Chennai"/>
    <x v="1"/>
    <x v="1"/>
    <x v="1"/>
    <n v="55638.06"/>
    <n v="5"/>
    <x v="1"/>
    <n v="4680.1000000000004"/>
    <x v="1"/>
    <x v="0"/>
  </r>
  <r>
    <x v="2"/>
    <d v="2025-01-02T11:00:51"/>
    <s v="Isha Joshi"/>
    <s v="Jaipur"/>
    <x v="2"/>
    <x v="2"/>
    <x v="0"/>
    <n v="103172.43"/>
    <n v="4"/>
    <x v="2"/>
    <n v="19081.87"/>
    <x v="2"/>
    <x v="0"/>
  </r>
  <r>
    <x v="3"/>
    <d v="2025-01-03T04:31:16"/>
    <s v="Aditya Jain"/>
    <s v="Chennai"/>
    <x v="1"/>
    <x v="3"/>
    <x v="2"/>
    <n v="2488.3200000000002"/>
    <n v="2"/>
    <x v="3"/>
    <n v="314.91000000000003"/>
    <x v="1"/>
    <x v="0"/>
  </r>
  <r>
    <x v="4"/>
    <d v="2025-01-03T22:01:41"/>
    <s v="Arjun Joshi"/>
    <s v="Hyderabad"/>
    <x v="3"/>
    <x v="4"/>
    <x v="0"/>
    <n v="12903.29"/>
    <n v="5"/>
    <x v="4"/>
    <n v="1200.1400000000001"/>
    <x v="1"/>
    <x v="0"/>
  </r>
  <r>
    <x v="5"/>
    <d v="2025-01-04T15:32:06"/>
    <s v="Isha Jain"/>
    <s v="Bhopal"/>
    <x v="4"/>
    <x v="5"/>
    <x v="3"/>
    <n v="213.7"/>
    <n v="1"/>
    <x v="4"/>
    <n v="27.4"/>
    <x v="1"/>
    <x v="0"/>
  </r>
  <r>
    <x v="6"/>
    <d v="2025-01-05T09:02:32"/>
    <s v="Rahul Khan"/>
    <s v="Bengaluru"/>
    <x v="5"/>
    <x v="4"/>
    <x v="0"/>
    <n v="2087.17"/>
    <n v="1"/>
    <x v="1"/>
    <n v="297.08999999999997"/>
    <x v="3"/>
    <x v="0"/>
  </r>
  <r>
    <x v="7"/>
    <d v="2025-01-06T02:32:57"/>
    <s v="Arjun Mehta"/>
    <s v="Pune"/>
    <x v="6"/>
    <x v="6"/>
    <x v="2"/>
    <n v="4363.8500000000004"/>
    <n v="5"/>
    <x v="0"/>
    <n v="1169.07"/>
    <x v="1"/>
    <x v="0"/>
  </r>
  <r>
    <x v="8"/>
    <d v="2025-01-06T20:03:22"/>
    <s v="Kavya Joshi"/>
    <s v="Hyderabad"/>
    <x v="3"/>
    <x v="1"/>
    <x v="1"/>
    <n v="55096.38"/>
    <n v="5"/>
    <x v="2"/>
    <n v="13539.8"/>
    <x v="1"/>
    <x v="0"/>
  </r>
  <r>
    <x v="9"/>
    <d v="2025-01-07T13:33:47"/>
    <s v="Neha Joshi"/>
    <s v="Kolkata"/>
    <x v="7"/>
    <x v="7"/>
    <x v="0"/>
    <n v="83427.92"/>
    <n v="5"/>
    <x v="0"/>
    <n v="7918.15"/>
    <x v="2"/>
    <x v="0"/>
  </r>
  <r>
    <x v="10"/>
    <d v="2025-01-08T07:04:13"/>
    <s v="Sneha Gupta"/>
    <s v="Kolkata"/>
    <x v="7"/>
    <x v="1"/>
    <x v="1"/>
    <n v="29472.75"/>
    <n v="3"/>
    <x v="1"/>
    <n v="7015.55"/>
    <x v="3"/>
    <x v="0"/>
  </r>
  <r>
    <x v="11"/>
    <d v="2025-01-09T00:34:38"/>
    <s v="Aarav Jain"/>
    <s v="Ahmedabad"/>
    <x v="0"/>
    <x v="5"/>
    <x v="3"/>
    <n v="238.95"/>
    <n v="1"/>
    <x v="0"/>
    <n v="40.6"/>
    <x v="4"/>
    <x v="0"/>
  </r>
  <r>
    <x v="12"/>
    <d v="2025-01-09T18:05:03"/>
    <s v="Aditya Sharma"/>
    <s v="Mumbai"/>
    <x v="6"/>
    <x v="7"/>
    <x v="0"/>
    <n v="63851.99"/>
    <n v="3"/>
    <x v="2"/>
    <n v="17517.310000000001"/>
    <x v="4"/>
    <x v="0"/>
  </r>
  <r>
    <x v="13"/>
    <d v="2025-01-10T11:35:28"/>
    <s v="Aditya Jain"/>
    <s v="Lucknow"/>
    <x v="8"/>
    <x v="8"/>
    <x v="1"/>
    <n v="25824.93"/>
    <n v="3"/>
    <x v="2"/>
    <n v="2197.2800000000002"/>
    <x v="2"/>
    <x v="0"/>
  </r>
  <r>
    <x v="14"/>
    <d v="2025-01-11T05:05:54"/>
    <s v="Arjun Jain"/>
    <s v="Pune"/>
    <x v="6"/>
    <x v="0"/>
    <x v="0"/>
    <n v="61498.38"/>
    <n v="5"/>
    <x v="2"/>
    <n v="14212.9"/>
    <x v="0"/>
    <x v="0"/>
  </r>
  <r>
    <x v="15"/>
    <d v="2025-01-11T22:36:19"/>
    <s v="Rahul Singh"/>
    <s v="Mumbai"/>
    <x v="6"/>
    <x v="6"/>
    <x v="2"/>
    <n v="3454.46"/>
    <n v="4"/>
    <x v="0"/>
    <n v="713.97"/>
    <x v="0"/>
    <x v="0"/>
  </r>
  <r>
    <x v="16"/>
    <d v="2025-01-12T16:06:44"/>
    <s v="Sneha Joshi"/>
    <s v="Lucknow"/>
    <x v="8"/>
    <x v="8"/>
    <x v="1"/>
    <n v="27558.42"/>
    <n v="4"/>
    <x v="3"/>
    <n v="3704.58"/>
    <x v="1"/>
    <x v="0"/>
  </r>
  <r>
    <x v="17"/>
    <d v="2025-01-13T09:37:09"/>
    <s v="Isha Mehta"/>
    <s v="Hyderabad"/>
    <x v="3"/>
    <x v="4"/>
    <x v="0"/>
    <n v="7314.17"/>
    <n v="3"/>
    <x v="4"/>
    <n v="760.48"/>
    <x v="0"/>
    <x v="0"/>
  </r>
  <r>
    <x v="18"/>
    <d v="2025-01-14T03:07:35"/>
    <s v="Isha Jain"/>
    <s v="Jaipur"/>
    <x v="2"/>
    <x v="1"/>
    <x v="1"/>
    <n v="11653.81"/>
    <n v="1"/>
    <x v="4"/>
    <n v="1524.12"/>
    <x v="3"/>
    <x v="0"/>
  </r>
  <r>
    <x v="19"/>
    <d v="2025-01-14T20:38:00"/>
    <s v="Vihaan Khan"/>
    <s v="Mumbai"/>
    <x v="6"/>
    <x v="9"/>
    <x v="0"/>
    <n v="257249.34"/>
    <n v="5"/>
    <x v="4"/>
    <n v="51941.95"/>
    <x v="4"/>
    <x v="0"/>
  </r>
  <r>
    <x v="20"/>
    <d v="2025-01-15T14:08:25"/>
    <s v="Rahul Jain"/>
    <s v="Indore"/>
    <x v="4"/>
    <x v="9"/>
    <x v="0"/>
    <n v="156550.43"/>
    <n v="3"/>
    <x v="1"/>
    <n v="26544.16"/>
    <x v="1"/>
    <x v="0"/>
  </r>
  <r>
    <x v="21"/>
    <d v="2025-01-16T07:38:50"/>
    <s v="Vihaan Khan"/>
    <s v="Ahmedabad"/>
    <x v="0"/>
    <x v="3"/>
    <x v="2"/>
    <n v="4234.96"/>
    <n v="3"/>
    <x v="0"/>
    <n v="737.14"/>
    <x v="0"/>
    <x v="0"/>
  </r>
  <r>
    <x v="22"/>
    <d v="2025-01-17T01:09:16"/>
    <s v="Isha Singh"/>
    <s v="Indore"/>
    <x v="4"/>
    <x v="10"/>
    <x v="3"/>
    <n v="54132.82"/>
    <n v="4"/>
    <x v="1"/>
    <n v="13623.7"/>
    <x v="0"/>
    <x v="0"/>
  </r>
  <r>
    <x v="23"/>
    <d v="2025-01-17T18:39:41"/>
    <s v="Priya Jain"/>
    <s v="Lucknow"/>
    <x v="8"/>
    <x v="4"/>
    <x v="0"/>
    <n v="7159.5"/>
    <n v="3"/>
    <x v="4"/>
    <n v="1919.5"/>
    <x v="3"/>
    <x v="0"/>
  </r>
  <r>
    <x v="24"/>
    <d v="2025-01-18T12:10:06"/>
    <s v="Kavya Verma"/>
    <s v="Bengaluru"/>
    <x v="5"/>
    <x v="9"/>
    <x v="0"/>
    <n v="157132.78"/>
    <n v="3"/>
    <x v="4"/>
    <n v="41630.559999999998"/>
    <x v="1"/>
    <x v="0"/>
  </r>
  <r>
    <x v="25"/>
    <d v="2025-01-19T05:40:31"/>
    <s v="unknown"/>
    <s v="Lucknow"/>
    <x v="8"/>
    <x v="10"/>
    <x v="3"/>
    <n v="60533.71"/>
    <n v="4"/>
    <x v="4"/>
    <n v="5969.87"/>
    <x v="4"/>
    <x v="0"/>
  </r>
  <r>
    <x v="26"/>
    <d v="2025-01-19T23:10:57"/>
    <s v="Arjun Mehta"/>
    <s v="Chennai"/>
    <x v="1"/>
    <x v="8"/>
    <x v="1"/>
    <n v="7562.66"/>
    <n v="1"/>
    <x v="1"/>
    <n v="1885.61"/>
    <x v="2"/>
    <x v="0"/>
  </r>
  <r>
    <x v="27"/>
    <d v="2025-01-20T16:41:22"/>
    <s v="Aditya Joshi"/>
    <s v="Bengaluru"/>
    <x v="5"/>
    <x v="0"/>
    <x v="0"/>
    <n v="40365.65"/>
    <n v="3"/>
    <x v="0"/>
    <n v="8630.08"/>
    <x v="0"/>
    <x v="0"/>
  </r>
  <r>
    <x v="28"/>
    <d v="2025-01-21T10:11:47"/>
    <s v="Arjun Sharma"/>
    <s v="Hyderabad"/>
    <x v="3"/>
    <x v="2"/>
    <x v="0"/>
    <n v="56754"/>
    <n v="2"/>
    <x v="2"/>
    <n v="15828.21"/>
    <x v="1"/>
    <x v="0"/>
  </r>
  <r>
    <x v="29"/>
    <d v="2025-01-22T03:42:12"/>
    <s v="Aarav Verma"/>
    <s v="Indore"/>
    <x v="4"/>
    <x v="11"/>
    <x v="2"/>
    <n v="6220.41"/>
    <n v="4"/>
    <x v="1"/>
    <n v="1394.54"/>
    <x v="4"/>
    <x v="0"/>
  </r>
  <r>
    <x v="30"/>
    <d v="2025-01-22T21:12:38"/>
    <s v="Aarav Gupta"/>
    <s v="Mumbai"/>
    <x v="6"/>
    <x v="6"/>
    <x v="2"/>
    <n v="2514.52"/>
    <n v="3"/>
    <x v="2"/>
    <n v="525.59"/>
    <x v="1"/>
    <x v="0"/>
  </r>
  <r>
    <x v="31"/>
    <d v="2025-01-23T14:43:03"/>
    <s v="Rohan Khan"/>
    <s v="Mumbai"/>
    <x v="6"/>
    <x v="0"/>
    <x v="0"/>
    <n v="45383.78"/>
    <n v="3"/>
    <x v="4"/>
    <n v="12657.99"/>
    <x v="0"/>
    <x v="0"/>
  </r>
  <r>
    <x v="32"/>
    <d v="2025-01-24T08:13:28"/>
    <s v="Aditya Sharma"/>
    <s v="Kolkata"/>
    <x v="7"/>
    <x v="10"/>
    <x v="3"/>
    <n v="80405.31"/>
    <n v="5"/>
    <x v="2"/>
    <n v="21977.26"/>
    <x v="1"/>
    <x v="0"/>
  </r>
  <r>
    <x v="33"/>
    <d v="2025-01-25T01:43:53"/>
    <s v="Rahul Yadav"/>
    <s v="Delhi"/>
    <x v="9"/>
    <x v="8"/>
    <x v="1"/>
    <n v="8505.69"/>
    <n v="1"/>
    <x v="4"/>
    <n v="1627.65"/>
    <x v="0"/>
    <x v="0"/>
  </r>
  <r>
    <x v="34"/>
    <d v="2025-01-25T19:14:19"/>
    <s v="Sneha Yadav"/>
    <s v="Bengaluru"/>
    <x v="5"/>
    <x v="1"/>
    <x v="1"/>
    <n v="19862.439999999999"/>
    <n v="2"/>
    <x v="3"/>
    <n v="2145.48"/>
    <x v="3"/>
    <x v="0"/>
  </r>
  <r>
    <x v="35"/>
    <d v="2025-01-26T12:44:44"/>
    <s v="Kavya Jain"/>
    <s v="Lucknow"/>
    <x v="8"/>
    <x v="9"/>
    <x v="0"/>
    <n v="44103.82"/>
    <n v="1"/>
    <x v="1"/>
    <n v="8404.6"/>
    <x v="3"/>
    <x v="0"/>
  </r>
  <r>
    <x v="36"/>
    <d v="2025-01-27T06:15:09"/>
    <s v="Arjun Singh"/>
    <s v="Mumbai"/>
    <x v="6"/>
    <x v="2"/>
    <x v="0"/>
    <n v="31003.62"/>
    <n v="1"/>
    <x v="4"/>
    <n v="2512.44"/>
    <x v="2"/>
    <x v="0"/>
  </r>
  <r>
    <x v="37"/>
    <d v="2025-01-27T23:45:34"/>
    <s v="Neha Khan"/>
    <s v="Bengaluru"/>
    <x v="5"/>
    <x v="7"/>
    <x v="0"/>
    <n v="59652.68"/>
    <n v="3"/>
    <x v="2"/>
    <n v="5893.47"/>
    <x v="0"/>
    <x v="0"/>
  </r>
  <r>
    <x v="38"/>
    <d v="2025-01-28T17:16:00"/>
    <s v="Kavya Khan"/>
    <s v="Hyderabad"/>
    <x v="3"/>
    <x v="5"/>
    <x v="3"/>
    <n v="1170.53"/>
    <n v="5"/>
    <x v="0"/>
    <n v="152.22999999999999"/>
    <x v="0"/>
    <x v="0"/>
  </r>
  <r>
    <x v="39"/>
    <d v="2025-01-29T10:46:25"/>
    <s v="Neha Singh"/>
    <s v="Kolkata"/>
    <x v="7"/>
    <x v="11"/>
    <x v="2"/>
    <n v="1878.2"/>
    <n v="1"/>
    <x v="2"/>
    <n v="512.84"/>
    <x v="4"/>
    <x v="0"/>
  </r>
  <r>
    <x v="40"/>
    <d v="2025-01-30T04:16:50"/>
    <s v="Aditya Sharma"/>
    <s v="Pune"/>
    <x v="6"/>
    <x v="4"/>
    <x v="0"/>
    <n v="7118.59"/>
    <n v="4"/>
    <x v="3"/>
    <n v="1586.87"/>
    <x v="0"/>
    <x v="0"/>
  </r>
  <r>
    <x v="41"/>
    <d v="2025-01-30T21:47:15"/>
    <s v="Ananya Gupta"/>
    <s v="Kolkata"/>
    <x v="7"/>
    <x v="5"/>
    <x v="3"/>
    <n v="343.04"/>
    <n v="2"/>
    <x v="3"/>
    <n v="84.8"/>
    <x v="2"/>
    <x v="0"/>
  </r>
  <r>
    <x v="42"/>
    <d v="2025-01-31T15:17:41"/>
    <s v="Ananya Mehta"/>
    <s v="Lucknow"/>
    <x v="8"/>
    <x v="5"/>
    <x v="3"/>
    <n v="245.68"/>
    <n v="1"/>
    <x v="4"/>
    <n v="24.27"/>
    <x v="4"/>
    <x v="0"/>
  </r>
  <r>
    <x v="43"/>
    <d v="2025-02-01T08:48:06"/>
    <s v="Neha Verma"/>
    <s v="Delhi"/>
    <x v="9"/>
    <x v="9"/>
    <x v="0"/>
    <n v="265163.84999999998"/>
    <n v="5"/>
    <x v="1"/>
    <n v="53654.35"/>
    <x v="1"/>
    <x v="1"/>
  </r>
  <r>
    <x v="44"/>
    <d v="2025-02-02T02:18:31"/>
    <s v="Aarav Singh"/>
    <s v="Lucknow"/>
    <x v="8"/>
    <x v="4"/>
    <x v="0"/>
    <n v="10521.84"/>
    <n v="5"/>
    <x v="2"/>
    <n v="1034.93"/>
    <x v="4"/>
    <x v="1"/>
  </r>
  <r>
    <x v="45"/>
    <d v="2025-02-02T19:48:56"/>
    <s v="Rohan Jain"/>
    <s v="Kolkata"/>
    <x v="7"/>
    <x v="5"/>
    <x v="3"/>
    <n v="473.8"/>
    <n v="2"/>
    <x v="2"/>
    <n v="54.32"/>
    <x v="3"/>
    <x v="1"/>
  </r>
  <r>
    <x v="46"/>
    <d v="2025-02-03T13:19:22"/>
    <s v="Aditya Yadav"/>
    <s v="Lucknow"/>
    <x v="8"/>
    <x v="6"/>
    <x v="2"/>
    <n v="4770.92"/>
    <n v="5"/>
    <x v="2"/>
    <n v="396.28"/>
    <x v="2"/>
    <x v="1"/>
  </r>
  <r>
    <x v="47"/>
    <d v="2025-02-04T06:49:47"/>
    <s v="Aarav Singh"/>
    <s v="Bengaluru"/>
    <x v="5"/>
    <x v="11"/>
    <x v="2"/>
    <n v="8089.92"/>
    <n v="5"/>
    <x v="4"/>
    <n v="1686.62"/>
    <x v="1"/>
    <x v="1"/>
  </r>
  <r>
    <x v="48"/>
    <d v="2025-02-05T00:20:12"/>
    <s v="Isha Verma"/>
    <s v="Bhopal"/>
    <x v="4"/>
    <x v="4"/>
    <x v="0"/>
    <n v="7552.68"/>
    <n v="4"/>
    <x v="0"/>
    <n v="1843.82"/>
    <x v="2"/>
    <x v="1"/>
  </r>
  <r>
    <x v="49"/>
    <d v="2025-02-05T17:50:37"/>
    <s v="Vihaan Verma"/>
    <s v="Indore"/>
    <x v="4"/>
    <x v="1"/>
    <x v="1"/>
    <n v="20793.72"/>
    <n v="2"/>
    <x v="2"/>
    <n v="2555.92"/>
    <x v="3"/>
    <x v="1"/>
  </r>
  <r>
    <x v="50"/>
    <d v="2025-02-06T11:21:03"/>
    <s v="Vihaan Verma"/>
    <s v="Mumbai"/>
    <x v="6"/>
    <x v="8"/>
    <x v="1"/>
    <n v="8949.43"/>
    <n v="1"/>
    <x v="2"/>
    <n v="1935.97"/>
    <x v="2"/>
    <x v="1"/>
  </r>
  <r>
    <x v="51"/>
    <d v="2025-02-07T04:51:28"/>
    <s v="Arjun Joshi"/>
    <s v="Ahmedabad"/>
    <x v="0"/>
    <x v="0"/>
    <x v="0"/>
    <n v="26687.33"/>
    <n v="2"/>
    <x v="1"/>
    <n v="6818.46"/>
    <x v="4"/>
    <x v="1"/>
  </r>
  <r>
    <x v="52"/>
    <d v="2025-02-07T22:21:53"/>
    <s v="Aditya Singh"/>
    <s v="Hyderabad"/>
    <x v="3"/>
    <x v="0"/>
    <x v="0"/>
    <n v="24621.439999999999"/>
    <n v="2"/>
    <x v="1"/>
    <n v="4805.7299999999996"/>
    <x v="3"/>
    <x v="1"/>
  </r>
  <r>
    <x v="53"/>
    <d v="2025-02-08T15:52:18"/>
    <s v="Aditya Joshi"/>
    <s v="Indore"/>
    <x v="4"/>
    <x v="8"/>
    <x v="1"/>
    <n v="37323.949999999997"/>
    <n v="5"/>
    <x v="1"/>
    <n v="8509.18"/>
    <x v="2"/>
    <x v="1"/>
  </r>
  <r>
    <x v="54"/>
    <d v="2025-02-09T09:22:44"/>
    <s v="Isha Joshi"/>
    <s v="Indore"/>
    <x v="4"/>
    <x v="0"/>
    <x v="0"/>
    <n v="11257.58"/>
    <n v="1"/>
    <x v="0"/>
    <n v="1776.9"/>
    <x v="0"/>
    <x v="1"/>
  </r>
  <r>
    <x v="55"/>
    <d v="2025-02-10T02:53:09"/>
    <s v="Rohan Gupta"/>
    <s v="Kolkata"/>
    <x v="7"/>
    <x v="10"/>
    <x v="3"/>
    <n v="54480.9"/>
    <n v="4"/>
    <x v="3"/>
    <n v="10606.75"/>
    <x v="0"/>
    <x v="1"/>
  </r>
  <r>
    <x v="56"/>
    <d v="2025-02-10T20:23:34"/>
    <s v="Ananya Jain"/>
    <s v="Kolkata"/>
    <x v="7"/>
    <x v="10"/>
    <x v="3"/>
    <n v="53639.53"/>
    <n v="4"/>
    <x v="0"/>
    <n v="12783.15"/>
    <x v="4"/>
    <x v="1"/>
  </r>
  <r>
    <x v="57"/>
    <d v="2025-02-11T13:53:59"/>
    <s v="Neha Patel"/>
    <s v="Delhi"/>
    <x v="9"/>
    <x v="5"/>
    <x v="3"/>
    <n v="390.27"/>
    <n v="2"/>
    <x v="1"/>
    <n v="65.680000000000007"/>
    <x v="1"/>
    <x v="1"/>
  </r>
  <r>
    <x v="58"/>
    <d v="2025-02-12T07:24:25"/>
    <s v="Priya Yadav"/>
    <s v="Hyderabad"/>
    <x v="3"/>
    <x v="5"/>
    <x v="3"/>
    <n v="517.73"/>
    <n v="2"/>
    <x v="4"/>
    <n v="50.13"/>
    <x v="2"/>
    <x v="1"/>
  </r>
  <r>
    <x v="59"/>
    <d v="2025-02-13T00:54:50"/>
    <s v="Priya Sharma"/>
    <s v="Bhopal"/>
    <x v="4"/>
    <x v="3"/>
    <x v="2"/>
    <n v="2896.5"/>
    <n v="2"/>
    <x v="1"/>
    <n v="366.83"/>
    <x v="1"/>
    <x v="1"/>
  </r>
  <r>
    <x v="60"/>
    <d v="2025-02-13T18:25:15"/>
    <s v="Aditya Khan"/>
    <s v="Indore"/>
    <x v="4"/>
    <x v="8"/>
    <x v="1"/>
    <n v="8785.7000000000007"/>
    <n v="1"/>
    <x v="2"/>
    <n v="1947.23"/>
    <x v="0"/>
    <x v="1"/>
  </r>
  <r>
    <x v="61"/>
    <d v="2025-02-14T11:55:40"/>
    <s v="Isha Yadav"/>
    <s v="Lucknow"/>
    <x v="8"/>
    <x v="5"/>
    <x v="3"/>
    <n v="629.39"/>
    <n v="3"/>
    <x v="2"/>
    <n v="51.78"/>
    <x v="1"/>
    <x v="1"/>
  </r>
  <r>
    <x v="62"/>
    <d v="2025-02-15T05:26:06"/>
    <s v="Isha Joshi"/>
    <s v="Kolkata"/>
    <x v="7"/>
    <x v="1"/>
    <x v="1"/>
    <n v="59229.21"/>
    <n v="5"/>
    <x v="1"/>
    <n v="12805.82"/>
    <x v="1"/>
    <x v="1"/>
  </r>
  <r>
    <x v="63"/>
    <d v="2025-02-15T22:56:31"/>
    <s v="Rohan Khan"/>
    <s v="Indore"/>
    <x v="4"/>
    <x v="10"/>
    <x v="3"/>
    <n v="11004.94"/>
    <n v="1"/>
    <x v="3"/>
    <n v="907.15"/>
    <x v="4"/>
    <x v="1"/>
  </r>
  <r>
    <x v="64"/>
    <d v="2025-02-16T16:26:56"/>
    <s v="Ananya Sharma"/>
    <s v="Chennai"/>
    <x v="1"/>
    <x v="7"/>
    <x v="0"/>
    <n v="91663.81"/>
    <n v="5"/>
    <x v="1"/>
    <n v="8716.0300000000007"/>
    <x v="2"/>
    <x v="1"/>
  </r>
  <r>
    <x v="65"/>
    <d v="2025-02-17T09:57:21"/>
    <s v="Priya Khan"/>
    <s v="Delhi"/>
    <x v="9"/>
    <x v="6"/>
    <x v="2"/>
    <n v="3024.94"/>
    <n v="3"/>
    <x v="4"/>
    <n v="411.97"/>
    <x v="1"/>
    <x v="1"/>
  </r>
  <r>
    <x v="66"/>
    <d v="2025-02-18T03:27:47"/>
    <s v="Kavya Patel"/>
    <s v="Bengaluru"/>
    <x v="5"/>
    <x v="7"/>
    <x v="0"/>
    <n v="102653.58"/>
    <n v="5"/>
    <x v="4"/>
    <n v="17732.349999999999"/>
    <x v="1"/>
    <x v="1"/>
  </r>
  <r>
    <x v="67"/>
    <d v="2025-02-18T20:58:12"/>
    <s v="Ananya Sharma"/>
    <s v="Kolkata"/>
    <x v="7"/>
    <x v="11"/>
    <x v="2"/>
    <n v="1586.85"/>
    <n v="1"/>
    <x v="2"/>
    <n v="137.19999999999999"/>
    <x v="4"/>
    <x v="1"/>
  </r>
  <r>
    <x v="68"/>
    <d v="2025-02-19T14:28:37"/>
    <s v="Aditya Gupta"/>
    <s v="Pune"/>
    <x v="6"/>
    <x v="7"/>
    <x v="0"/>
    <n v="97895.11"/>
    <n v="5"/>
    <x v="4"/>
    <n v="26246.3"/>
    <x v="2"/>
    <x v="1"/>
  </r>
  <r>
    <x v="69"/>
    <d v="2025-02-20T07:59:02"/>
    <s v="Rahul Sharma"/>
    <s v="Bhopal"/>
    <x v="4"/>
    <x v="5"/>
    <x v="3"/>
    <n v="507.74"/>
    <n v="2"/>
    <x v="4"/>
    <n v="82.38"/>
    <x v="3"/>
    <x v="1"/>
  </r>
  <r>
    <x v="70"/>
    <d v="2025-02-21T01:29:28"/>
    <s v="Aarav Sharma"/>
    <s v="Indore"/>
    <x v="4"/>
    <x v="3"/>
    <x v="2"/>
    <n v="9190.17"/>
    <n v="5"/>
    <x v="2"/>
    <n v="2259.25"/>
    <x v="3"/>
    <x v="1"/>
  </r>
  <r>
    <x v="71"/>
    <d v="2025-02-21T18:59:53"/>
    <s v="Rohan Gupta"/>
    <s v="Hyderabad"/>
    <x v="3"/>
    <x v="4"/>
    <x v="0"/>
    <n v="2135.25"/>
    <n v="1"/>
    <x v="4"/>
    <n v="466.22"/>
    <x v="0"/>
    <x v="1"/>
  </r>
  <r>
    <x v="72"/>
    <d v="2025-02-22T12:30:18"/>
    <s v="Rohan Joshi"/>
    <s v="Delhi"/>
    <x v="9"/>
    <x v="8"/>
    <x v="1"/>
    <n v="40844.74"/>
    <n v="5"/>
    <x v="0"/>
    <n v="6354.22"/>
    <x v="2"/>
    <x v="1"/>
  </r>
  <r>
    <x v="73"/>
    <d v="2025-02-23T06:00:43"/>
    <s v="Priya Jain"/>
    <s v="Mumbai"/>
    <x v="6"/>
    <x v="0"/>
    <x v="0"/>
    <n v="13249.03"/>
    <n v="1"/>
    <x v="1"/>
    <n v="2008.98"/>
    <x v="3"/>
    <x v="1"/>
  </r>
  <r>
    <x v="74"/>
    <d v="2025-02-23T23:31:09"/>
    <s v="Rohan Joshi"/>
    <s v="Lucknow"/>
    <x v="8"/>
    <x v="2"/>
    <x v="0"/>
    <n v="76962.75"/>
    <n v="3"/>
    <x v="0"/>
    <n v="14652.27"/>
    <x v="2"/>
    <x v="1"/>
  </r>
  <r>
    <x v="75"/>
    <d v="2025-02-24T17:01:34"/>
    <s v="Isha Patel"/>
    <s v="Ahmedabad"/>
    <x v="0"/>
    <x v="11"/>
    <x v="2"/>
    <n v="7969.84"/>
    <n v="5"/>
    <x v="0"/>
    <n v="2077.1799999999998"/>
    <x v="3"/>
    <x v="1"/>
  </r>
  <r>
    <x v="76"/>
    <d v="2025-02-25T10:31:59"/>
    <s v="Aarav Mehta"/>
    <s v="Bhopal"/>
    <x v="4"/>
    <x v="2"/>
    <x v="0"/>
    <n v="71061.350000000006"/>
    <n v="3"/>
    <x v="1"/>
    <n v="13465.36"/>
    <x v="1"/>
    <x v="1"/>
  </r>
  <r>
    <x v="77"/>
    <d v="2025-02-26T04:02:24"/>
    <s v="Aarav Yadav"/>
    <s v="Ahmedabad"/>
    <x v="0"/>
    <x v="5"/>
    <x v="3"/>
    <n v="675.3"/>
    <n v="3"/>
    <x v="0"/>
    <n v="116.06"/>
    <x v="2"/>
    <x v="1"/>
  </r>
  <r>
    <x v="78"/>
    <d v="2025-02-26T21:32:50"/>
    <s v="Sneha Verma"/>
    <s v="Kolkata"/>
    <x v="7"/>
    <x v="0"/>
    <x v="0"/>
    <n v="76076.649999999994"/>
    <n v="5"/>
    <x v="2"/>
    <n v="11088.2"/>
    <x v="2"/>
    <x v="1"/>
  </r>
  <r>
    <x v="79"/>
    <d v="2025-02-27T15:03:15"/>
    <s v="Priya Joshi"/>
    <s v="Ahmedabad"/>
    <x v="0"/>
    <x v="8"/>
    <x v="1"/>
    <n v="21667.05"/>
    <n v="3"/>
    <x v="1"/>
    <n v="2521.52"/>
    <x v="0"/>
    <x v="1"/>
  </r>
  <r>
    <x v="80"/>
    <d v="2025-02-28T08:33:40"/>
    <s v="Rohan Gupta"/>
    <s v="Mumbai"/>
    <x v="6"/>
    <x v="3"/>
    <x v="2"/>
    <n v="9249.66"/>
    <n v="5"/>
    <x v="1"/>
    <n v="1154.08"/>
    <x v="3"/>
    <x v="1"/>
  </r>
  <r>
    <x v="81"/>
    <d v="2025-03-01T02:04:05"/>
    <s v="Isha Yadav"/>
    <s v="Kolkata"/>
    <x v="7"/>
    <x v="5"/>
    <x v="3"/>
    <n v="966.99"/>
    <n v="5"/>
    <x v="1"/>
    <n v="180.72"/>
    <x v="3"/>
    <x v="2"/>
  </r>
  <r>
    <x v="82"/>
    <d v="2025-03-01T19:34:31"/>
    <s v="Rahul Mehta"/>
    <s v="Indore"/>
    <x v="4"/>
    <x v="5"/>
    <x v="3"/>
    <n v="1183.0899999999999"/>
    <n v="5"/>
    <x v="4"/>
    <n v="208.49"/>
    <x v="0"/>
    <x v="2"/>
  </r>
  <r>
    <x v="83"/>
    <d v="2025-03-02T13:04:56"/>
    <s v="Priya Khan"/>
    <s v="Indore"/>
    <x v="4"/>
    <x v="5"/>
    <x v="3"/>
    <n v="982.67"/>
    <n v="4"/>
    <x v="1"/>
    <n v="114.88"/>
    <x v="3"/>
    <x v="2"/>
  </r>
  <r>
    <x v="84"/>
    <d v="2025-03-03T06:35:21"/>
    <s v="Neha Verma"/>
    <s v="Kolkata"/>
    <x v="7"/>
    <x v="8"/>
    <x v="1"/>
    <n v="19336.34"/>
    <n v="2"/>
    <x v="4"/>
    <n v="2523.15"/>
    <x v="0"/>
    <x v="2"/>
  </r>
  <r>
    <x v="85"/>
    <d v="2025-03-04T00:05:46"/>
    <s v="Neha Gupta"/>
    <s v="Kolkata"/>
    <x v="7"/>
    <x v="2"/>
    <x v="0"/>
    <n v="54505.91"/>
    <n v="2"/>
    <x v="2"/>
    <n v="5503.67"/>
    <x v="1"/>
    <x v="2"/>
  </r>
  <r>
    <x v="86"/>
    <d v="2025-03-04T17:36:12"/>
    <s v="Ananya Sharma"/>
    <s v="Lucknow"/>
    <x v="8"/>
    <x v="8"/>
    <x v="1"/>
    <n v="9919.92"/>
    <n v="1"/>
    <x v="4"/>
    <n v="1855.69"/>
    <x v="4"/>
    <x v="2"/>
  </r>
  <r>
    <x v="87"/>
    <d v="2025-03-05T11:06:37"/>
    <s v="Arjun Khan"/>
    <s v="Pune"/>
    <x v="6"/>
    <x v="10"/>
    <x v="3"/>
    <n v="51652.69"/>
    <n v="4"/>
    <x v="1"/>
    <n v="9086.56"/>
    <x v="3"/>
    <x v="2"/>
  </r>
  <r>
    <x v="88"/>
    <d v="2025-03-06T04:37:02"/>
    <s v="Arjun Yadav"/>
    <s v="Bengaluru"/>
    <x v="5"/>
    <x v="1"/>
    <x v="1"/>
    <n v="11620.45"/>
    <n v="1"/>
    <x v="2"/>
    <n v="1713.89"/>
    <x v="2"/>
    <x v="2"/>
  </r>
  <r>
    <x v="89"/>
    <d v="2025-03-06T22:07:27"/>
    <s v="Rahul Gupta"/>
    <s v="Chennai"/>
    <x v="1"/>
    <x v="1"/>
    <x v="1"/>
    <n v="37128.92"/>
    <n v="3"/>
    <x v="1"/>
    <n v="4731.91"/>
    <x v="1"/>
    <x v="2"/>
  </r>
  <r>
    <x v="90"/>
    <d v="2025-03-07T15:37:53"/>
    <s v="Arjun Mehta"/>
    <s v="Chennai"/>
    <x v="1"/>
    <x v="1"/>
    <x v="1"/>
    <n v="9439.9599999999991"/>
    <n v="1"/>
    <x v="1"/>
    <n v="1530.02"/>
    <x v="3"/>
    <x v="2"/>
  </r>
  <r>
    <x v="91"/>
    <d v="2025-03-08T09:08:18"/>
    <s v="Priya Khan"/>
    <s v="Pune"/>
    <x v="6"/>
    <x v="7"/>
    <x v="0"/>
    <n v="62251.48"/>
    <n v="3"/>
    <x v="0"/>
    <n v="8191.08"/>
    <x v="0"/>
    <x v="2"/>
  </r>
  <r>
    <x v="92"/>
    <d v="2025-03-09T02:38:43"/>
    <s v="Rahul Yadav"/>
    <s v="Hyderabad"/>
    <x v="3"/>
    <x v="2"/>
    <x v="0"/>
    <n v="87336.86"/>
    <n v="3"/>
    <x v="2"/>
    <n v="20427.97"/>
    <x v="1"/>
    <x v="2"/>
  </r>
  <r>
    <x v="93"/>
    <d v="2025-03-09T20:09:08"/>
    <s v="Rahul Gupta"/>
    <s v="Mumbai"/>
    <x v="6"/>
    <x v="0"/>
    <x v="0"/>
    <n v="13493.02"/>
    <n v="1"/>
    <x v="1"/>
    <n v="2987.98"/>
    <x v="0"/>
    <x v="2"/>
  </r>
  <r>
    <x v="94"/>
    <d v="2025-03-10T13:39:34"/>
    <s v="Neha Yadav"/>
    <s v="Pune"/>
    <x v="6"/>
    <x v="3"/>
    <x v="2"/>
    <n v="4440.25"/>
    <n v="3"/>
    <x v="2"/>
    <n v="474.59"/>
    <x v="1"/>
    <x v="2"/>
  </r>
  <r>
    <x v="95"/>
    <d v="2025-03-11T07:09:59"/>
    <s v="Ananya Mehta"/>
    <s v="Bhopal"/>
    <x v="4"/>
    <x v="1"/>
    <x v="1"/>
    <n v="21032.65"/>
    <n v="2"/>
    <x v="4"/>
    <n v="1694.02"/>
    <x v="0"/>
    <x v="2"/>
  </r>
  <r>
    <x v="96"/>
    <d v="2025-03-12T00:40:24"/>
    <s v="Ananya Patel"/>
    <s v="Indore"/>
    <x v="4"/>
    <x v="11"/>
    <x v="2"/>
    <n v="8204.4599999999991"/>
    <n v="4"/>
    <x v="4"/>
    <n v="1855.63"/>
    <x v="1"/>
    <x v="2"/>
  </r>
  <r>
    <x v="97"/>
    <d v="2025-03-12T18:10:49"/>
    <s v="Priya Joshi"/>
    <s v="Mumbai"/>
    <x v="6"/>
    <x v="4"/>
    <x v="0"/>
    <n v="2412.7600000000002"/>
    <n v="1"/>
    <x v="1"/>
    <n v="599.25"/>
    <x v="4"/>
    <x v="2"/>
  </r>
  <r>
    <x v="98"/>
    <d v="2025-03-13T11:41:15"/>
    <s v="Arjun Joshi"/>
    <s v="Kolkata"/>
    <x v="7"/>
    <x v="4"/>
    <x v="0"/>
    <n v="11324.02"/>
    <n v="5"/>
    <x v="4"/>
    <n v="2341.2600000000002"/>
    <x v="4"/>
    <x v="2"/>
  </r>
  <r>
    <x v="99"/>
    <d v="2025-03-14T05:11:40"/>
    <s v="Aditya Khan"/>
    <s v="Lucknow"/>
    <x v="8"/>
    <x v="10"/>
    <x v="3"/>
    <n v="31206.92"/>
    <n v="2"/>
    <x v="2"/>
    <n v="4849.21"/>
    <x v="2"/>
    <x v="2"/>
  </r>
  <r>
    <x v="100"/>
    <d v="2025-03-14T22:42:05"/>
    <s v="Rohan Mehta"/>
    <s v="Ahmedabad"/>
    <x v="0"/>
    <x v="9"/>
    <x v="0"/>
    <n v="49982.81"/>
    <n v="1"/>
    <x v="2"/>
    <n v="9315.3700000000008"/>
    <x v="0"/>
    <x v="2"/>
  </r>
  <r>
    <x v="101"/>
    <d v="2025-03-15T16:12:30"/>
    <s v="Aarav Singh"/>
    <s v="Ahmedabad"/>
    <x v="0"/>
    <x v="4"/>
    <x v="0"/>
    <n v="7397.97"/>
    <n v="3"/>
    <x v="2"/>
    <n v="797.9"/>
    <x v="0"/>
    <x v="2"/>
  </r>
  <r>
    <x v="102"/>
    <d v="2025-03-16T09:42:56"/>
    <s v="Arjun Khan"/>
    <s v="Pune"/>
    <x v="6"/>
    <x v="6"/>
    <x v="2"/>
    <n v="849.16"/>
    <n v="1"/>
    <x v="4"/>
    <n v="194.28"/>
    <x v="3"/>
    <x v="2"/>
  </r>
  <r>
    <x v="103"/>
    <d v="2025-03-17T03:13:21"/>
    <s v="Arjun Mehta"/>
    <s v="Lucknow"/>
    <x v="8"/>
    <x v="11"/>
    <x v="2"/>
    <n v="5812.51"/>
    <n v="3"/>
    <x v="4"/>
    <n v="1088.6600000000001"/>
    <x v="1"/>
    <x v="2"/>
  </r>
  <r>
    <x v="104"/>
    <d v="2025-03-17T20:43:46"/>
    <s v="Sneha Verma"/>
    <s v="Bengaluru"/>
    <x v="5"/>
    <x v="1"/>
    <x v="1"/>
    <n v="56766.71"/>
    <n v="5"/>
    <x v="2"/>
    <n v="13304.78"/>
    <x v="0"/>
    <x v="2"/>
  </r>
  <r>
    <x v="105"/>
    <d v="2025-03-18T14:14:11"/>
    <s v="Kavya Mehta"/>
    <s v="Pune"/>
    <x v="6"/>
    <x v="0"/>
    <x v="0"/>
    <n v="24619.35"/>
    <n v="2"/>
    <x v="2"/>
    <n v="2863.71"/>
    <x v="3"/>
    <x v="2"/>
  </r>
  <r>
    <x v="106"/>
    <d v="2025-03-19T07:44:37"/>
    <s v="Priya Singh"/>
    <s v="Chennai"/>
    <x v="1"/>
    <x v="7"/>
    <x v="0"/>
    <n v="40624.410000000003"/>
    <n v="2"/>
    <x v="1"/>
    <n v="8217.9500000000007"/>
    <x v="1"/>
    <x v="2"/>
  </r>
  <r>
    <x v="107"/>
    <d v="2025-03-20T01:15:02"/>
    <s v="Kavya Joshi"/>
    <s v="Delhi"/>
    <x v="9"/>
    <x v="1"/>
    <x v="1"/>
    <n v="63730.3"/>
    <n v="5"/>
    <x v="4"/>
    <n v="12443.83"/>
    <x v="0"/>
    <x v="2"/>
  </r>
  <r>
    <x v="108"/>
    <d v="2025-03-20T18:45:27"/>
    <s v="Arjun Khan"/>
    <s v="Bengaluru"/>
    <x v="5"/>
    <x v="10"/>
    <x v="3"/>
    <n v="44336.33"/>
    <n v="3"/>
    <x v="4"/>
    <n v="12279.76"/>
    <x v="2"/>
    <x v="2"/>
  </r>
  <r>
    <x v="109"/>
    <d v="2025-03-21T12:15:52"/>
    <s v="Ananya Yadav"/>
    <s v="Indore"/>
    <x v="4"/>
    <x v="6"/>
    <x v="2"/>
    <n v="2635.23"/>
    <n v="3"/>
    <x v="2"/>
    <n v="239.68"/>
    <x v="1"/>
    <x v="2"/>
  </r>
  <r>
    <x v="110"/>
    <d v="2025-03-22T05:46:18"/>
    <s v="Sneha Khan"/>
    <s v="Hyderabad"/>
    <x v="3"/>
    <x v="11"/>
    <x v="2"/>
    <n v="3249.17"/>
    <n v="2"/>
    <x v="2"/>
    <n v="609.15"/>
    <x v="3"/>
    <x v="2"/>
  </r>
  <r>
    <x v="111"/>
    <d v="2025-03-22T23:16:43"/>
    <s v="Isha Verma"/>
    <s v="Ahmedabad"/>
    <x v="0"/>
    <x v="2"/>
    <x v="0"/>
    <n v="91591.9"/>
    <n v="3"/>
    <x v="2"/>
    <n v="11441.75"/>
    <x v="2"/>
    <x v="2"/>
  </r>
  <r>
    <x v="112"/>
    <d v="2025-03-23T16:47:08"/>
    <s v="Rahul Yadav"/>
    <s v="Ahmedabad"/>
    <x v="0"/>
    <x v="0"/>
    <x v="0"/>
    <n v="74776.17"/>
    <n v="5"/>
    <x v="2"/>
    <n v="14664.93"/>
    <x v="1"/>
    <x v="2"/>
  </r>
  <r>
    <x v="113"/>
    <d v="2025-03-24T10:17:33"/>
    <s v="Rahul Khan"/>
    <s v="Bhopal"/>
    <x v="4"/>
    <x v="11"/>
    <x v="2"/>
    <n v="1300.9100000000001"/>
    <n v="1"/>
    <x v="3"/>
    <n v="142.75"/>
    <x v="1"/>
    <x v="2"/>
  </r>
  <r>
    <x v="114"/>
    <d v="2025-03-25T03:47:59"/>
    <s v="Priya Verma"/>
    <s v="Bengaluru"/>
    <x v="5"/>
    <x v="9"/>
    <x v="0"/>
    <n v="49270.76"/>
    <n v="1"/>
    <x v="2"/>
    <n v="8147.3"/>
    <x v="4"/>
    <x v="2"/>
  </r>
  <r>
    <x v="115"/>
    <d v="2025-03-25T21:18:24"/>
    <s v="Vihaan Khan"/>
    <s v="Indore"/>
    <x v="4"/>
    <x v="1"/>
    <x v="1"/>
    <n v="26613.200000000001"/>
    <n v="3"/>
    <x v="0"/>
    <n v="4541.75"/>
    <x v="1"/>
    <x v="2"/>
  </r>
  <r>
    <x v="116"/>
    <d v="2025-03-26T14:48:49"/>
    <s v="Neha Verma"/>
    <s v="Indore"/>
    <x v="4"/>
    <x v="2"/>
    <x v="0"/>
    <n v="80691.490000000005"/>
    <n v="3"/>
    <x v="4"/>
    <n v="20363.07"/>
    <x v="3"/>
    <x v="2"/>
  </r>
  <r>
    <x v="117"/>
    <d v="2025-03-27T08:19:14"/>
    <s v="Vihaan Jain"/>
    <s v="Lucknow"/>
    <x v="8"/>
    <x v="4"/>
    <x v="0"/>
    <n v="4863.1000000000004"/>
    <n v="2"/>
    <x v="4"/>
    <n v="540.92999999999995"/>
    <x v="4"/>
    <x v="2"/>
  </r>
  <r>
    <x v="118"/>
    <d v="2025-03-28T01:49:40"/>
    <s v="Priya Khan"/>
    <s v="Bengaluru"/>
    <x v="5"/>
    <x v="9"/>
    <x v="0"/>
    <n v="50412.54"/>
    <n v="1"/>
    <x v="4"/>
    <n v="10807.37"/>
    <x v="2"/>
    <x v="2"/>
  </r>
  <r>
    <x v="119"/>
    <d v="2025-03-28T19:20:05"/>
    <s v="Priya Mehta"/>
    <s v="Delhi"/>
    <x v="9"/>
    <x v="4"/>
    <x v="0"/>
    <n v="7843.68"/>
    <n v="3"/>
    <x v="4"/>
    <n v="783.49"/>
    <x v="0"/>
    <x v="2"/>
  </r>
  <r>
    <x v="120"/>
    <d v="2025-03-29T12:50:30"/>
    <s v="Vihaan Jain"/>
    <s v="Pune"/>
    <x v="6"/>
    <x v="0"/>
    <x v="0"/>
    <n v="59339.58"/>
    <n v="5"/>
    <x v="2"/>
    <n v="8592.25"/>
    <x v="3"/>
    <x v="2"/>
  </r>
  <r>
    <x v="121"/>
    <d v="2025-03-30T06:20:55"/>
    <s v="Isha Patel"/>
    <s v="Ahmedabad"/>
    <x v="0"/>
    <x v="9"/>
    <x v="0"/>
    <n v="235938.91"/>
    <n v="5"/>
    <x v="4"/>
    <n v="46387.55"/>
    <x v="3"/>
    <x v="2"/>
  </r>
  <r>
    <x v="122"/>
    <d v="2025-03-30T23:51:21"/>
    <s v="Neha Singh"/>
    <s v="Indore"/>
    <x v="4"/>
    <x v="11"/>
    <x v="2"/>
    <n v="5818.65"/>
    <n v="4"/>
    <x v="0"/>
    <n v="887.99"/>
    <x v="4"/>
    <x v="2"/>
  </r>
  <r>
    <x v="123"/>
    <d v="2025-03-31T17:21:46"/>
    <s v="Rahul Mehta"/>
    <s v="Delhi"/>
    <x v="9"/>
    <x v="6"/>
    <x v="2"/>
    <n v="838.61"/>
    <n v="1"/>
    <x v="2"/>
    <n v="226.17"/>
    <x v="2"/>
    <x v="2"/>
  </r>
  <r>
    <x v="124"/>
    <d v="2025-04-01T10:52:11"/>
    <s v="Aditya Sharma"/>
    <s v="Lucknow"/>
    <x v="8"/>
    <x v="1"/>
    <x v="1"/>
    <n v="34221.99"/>
    <n v="3"/>
    <x v="0"/>
    <n v="5648.09"/>
    <x v="2"/>
    <x v="3"/>
  </r>
  <r>
    <x v="125"/>
    <d v="2025-04-02T04:22:36"/>
    <s v="Arjun Yadav"/>
    <s v="Bengaluru"/>
    <x v="5"/>
    <x v="2"/>
    <x v="0"/>
    <n v="145614.75"/>
    <n v="5"/>
    <x v="4"/>
    <n v="30435.06"/>
    <x v="3"/>
    <x v="3"/>
  </r>
  <r>
    <x v="126"/>
    <d v="2025-04-02T21:53:02"/>
    <s v="Arjun Joshi"/>
    <s v="Bhopal"/>
    <x v="4"/>
    <x v="8"/>
    <x v="1"/>
    <n v="30798.62"/>
    <n v="5"/>
    <x v="3"/>
    <n v="3189.2"/>
    <x v="3"/>
    <x v="3"/>
  </r>
  <r>
    <x v="127"/>
    <d v="2025-04-03T15:23:27"/>
    <s v="Rahul Gupta"/>
    <s v="Indore"/>
    <x v="4"/>
    <x v="11"/>
    <x v="2"/>
    <n v="1618.77"/>
    <n v="1"/>
    <x v="1"/>
    <n v="164.01"/>
    <x v="0"/>
    <x v="3"/>
  </r>
  <r>
    <x v="128"/>
    <d v="2025-04-04T08:53:52"/>
    <s v="Neha Yadav"/>
    <s v="Hyderabad"/>
    <x v="3"/>
    <x v="6"/>
    <x v="2"/>
    <n v="2501.0100000000002"/>
    <n v="3"/>
    <x v="1"/>
    <n v="532.73"/>
    <x v="4"/>
    <x v="3"/>
  </r>
  <r>
    <x v="129"/>
    <d v="2025-04-05T02:24:17"/>
    <s v="Isha Khan"/>
    <s v="Indore"/>
    <x v="4"/>
    <x v="5"/>
    <x v="3"/>
    <n v="1085.56"/>
    <n v="5"/>
    <x v="1"/>
    <n v="97.04"/>
    <x v="0"/>
    <x v="3"/>
  </r>
  <r>
    <x v="130"/>
    <d v="2025-04-05T19:54:43"/>
    <s v="Priya Singh"/>
    <s v="Indore"/>
    <x v="4"/>
    <x v="4"/>
    <x v="0"/>
    <n v="12886.82"/>
    <n v="5"/>
    <x v="4"/>
    <n v="2034.3"/>
    <x v="2"/>
    <x v="3"/>
  </r>
  <r>
    <x v="131"/>
    <d v="2025-04-06T13:25:08"/>
    <s v="Rahul Gupta"/>
    <s v="Chennai"/>
    <x v="1"/>
    <x v="8"/>
    <x v="1"/>
    <n v="29107.42"/>
    <n v="3"/>
    <x v="2"/>
    <n v="7882.8"/>
    <x v="2"/>
    <x v="3"/>
  </r>
  <r>
    <x v="132"/>
    <d v="2025-04-07T06:55:33"/>
    <s v="Sneha Patel"/>
    <s v="Lucknow"/>
    <x v="8"/>
    <x v="0"/>
    <x v="0"/>
    <n v="42773.56"/>
    <n v="4"/>
    <x v="0"/>
    <n v="10662.66"/>
    <x v="2"/>
    <x v="3"/>
  </r>
  <r>
    <x v="133"/>
    <d v="2025-04-08T00:25:58"/>
    <s v="Sneha Mehta"/>
    <s v="Lucknow"/>
    <x v="8"/>
    <x v="2"/>
    <x v="0"/>
    <n v="135847.41"/>
    <n v="5"/>
    <x v="2"/>
    <n v="22083.18"/>
    <x v="3"/>
    <x v="3"/>
  </r>
  <r>
    <x v="134"/>
    <d v="2025-04-08T17:56:24"/>
    <s v="Rahul Patel"/>
    <s v="Hyderabad"/>
    <x v="3"/>
    <x v="8"/>
    <x v="1"/>
    <n v="25147.02"/>
    <n v="3"/>
    <x v="0"/>
    <n v="5505.67"/>
    <x v="1"/>
    <x v="3"/>
  </r>
  <r>
    <x v="135"/>
    <d v="2025-04-09T11:26:49"/>
    <s v="Ananya Jain"/>
    <s v="Mumbai"/>
    <x v="6"/>
    <x v="11"/>
    <x v="2"/>
    <n v="6291.24"/>
    <n v="4"/>
    <x v="3"/>
    <n v="1497.33"/>
    <x v="2"/>
    <x v="3"/>
  </r>
  <r>
    <x v="136"/>
    <d v="2025-04-10T04:57:14"/>
    <s v="Rahul Khan"/>
    <s v="Kolkata"/>
    <x v="7"/>
    <x v="1"/>
    <x v="1"/>
    <n v="32731.83"/>
    <n v="3"/>
    <x v="0"/>
    <n v="6931.18"/>
    <x v="2"/>
    <x v="3"/>
  </r>
  <r>
    <x v="137"/>
    <d v="2025-04-10T22:27:39"/>
    <s v="Kavya Jain"/>
    <s v="Bhopal"/>
    <x v="4"/>
    <x v="10"/>
    <x v="3"/>
    <n v="43985.42"/>
    <n v="4"/>
    <x v="3"/>
    <n v="11823.8"/>
    <x v="2"/>
    <x v="3"/>
  </r>
  <r>
    <x v="138"/>
    <d v="2025-04-11T15:58:05"/>
    <s v="Neha Joshi"/>
    <s v="Ahmedabad"/>
    <x v="0"/>
    <x v="5"/>
    <x v="3"/>
    <n v="1177.95"/>
    <n v="5"/>
    <x v="2"/>
    <n v="122.63"/>
    <x v="0"/>
    <x v="3"/>
  </r>
  <r>
    <x v="139"/>
    <d v="2025-04-12T09:28:30"/>
    <s v="Neha Verma"/>
    <s v="Bengaluru"/>
    <x v="5"/>
    <x v="2"/>
    <x v="0"/>
    <n v="96895.44"/>
    <n v="3"/>
    <x v="2"/>
    <n v="24457.24"/>
    <x v="3"/>
    <x v="3"/>
  </r>
  <r>
    <x v="140"/>
    <d v="2025-04-13T02:58:55"/>
    <s v="Vihaan Verma"/>
    <s v="Indore"/>
    <x v="1"/>
    <x v="5"/>
    <x v="3"/>
    <n v="248.2"/>
    <n v="1"/>
    <x v="2"/>
    <n v="47.69"/>
    <x v="4"/>
    <x v="3"/>
  </r>
  <r>
    <x v="141"/>
    <d v="2025-04-13T20:29:20"/>
    <s v="Aarav Singh"/>
    <s v="Chennai"/>
    <x v="1"/>
    <x v="1"/>
    <x v="1"/>
    <n v="25618.32"/>
    <n v="2"/>
    <x v="4"/>
    <n v="3664.91"/>
    <x v="4"/>
    <x v="3"/>
  </r>
  <r>
    <x v="142"/>
    <d v="2025-04-14T13:59:46"/>
    <s v="Vihaan Jain"/>
    <s v="Jaipur"/>
    <x v="2"/>
    <x v="10"/>
    <x v="3"/>
    <n v="66157.679999999993"/>
    <n v="5"/>
    <x v="0"/>
    <n v="13441.43"/>
    <x v="0"/>
    <x v="3"/>
  </r>
  <r>
    <x v="143"/>
    <d v="2025-04-15T07:30:11"/>
    <s v="Aditya Jain"/>
    <s v="Lucknow"/>
    <x v="8"/>
    <x v="2"/>
    <x v="0"/>
    <n v="90105.26"/>
    <n v="3"/>
    <x v="1"/>
    <n v="24131.41"/>
    <x v="1"/>
    <x v="3"/>
  </r>
  <r>
    <x v="144"/>
    <d v="2025-04-16T01:00:36"/>
    <s v="Kavya Joshi"/>
    <s v="Indore"/>
    <x v="4"/>
    <x v="11"/>
    <x v="2"/>
    <n v="6354.1"/>
    <n v="4"/>
    <x v="0"/>
    <n v="1758.92"/>
    <x v="1"/>
    <x v="3"/>
  </r>
  <r>
    <x v="145"/>
    <d v="2025-04-16T18:31:01"/>
    <s v="Arjun Patel"/>
    <s v="Delhi"/>
    <x v="9"/>
    <x v="9"/>
    <x v="0"/>
    <n v="46144.18"/>
    <n v="1"/>
    <x v="2"/>
    <n v="6342.42"/>
    <x v="4"/>
    <x v="3"/>
  </r>
  <r>
    <x v="146"/>
    <d v="2025-04-17T12:01:27"/>
    <s v="Priya Singh"/>
    <s v="Hyderabad"/>
    <x v="3"/>
    <x v="9"/>
    <x v="0"/>
    <n v="299475.24"/>
    <n v="5"/>
    <x v="2"/>
    <n v="46977.279999999999"/>
    <x v="1"/>
    <x v="3"/>
  </r>
  <r>
    <x v="147"/>
    <d v="2025-04-18T05:31:52"/>
    <s v="Priya Mehta"/>
    <s v="Chennai"/>
    <x v="1"/>
    <x v="5"/>
    <x v="3"/>
    <n v="1357.38"/>
    <n v="5"/>
    <x v="4"/>
    <n v="221.95"/>
    <x v="0"/>
    <x v="3"/>
  </r>
  <r>
    <x v="148"/>
    <d v="2025-04-18T23:02:17"/>
    <s v="Rahul Gupta"/>
    <s v="Bhopal"/>
    <x v="4"/>
    <x v="10"/>
    <x v="3"/>
    <n v="49561.27"/>
    <n v="4"/>
    <x v="2"/>
    <n v="12269.64"/>
    <x v="0"/>
    <x v="3"/>
  </r>
  <r>
    <x v="149"/>
    <d v="2025-04-19T16:32:42"/>
    <s v="Priya Khan"/>
    <s v="Lucknow"/>
    <x v="8"/>
    <x v="3"/>
    <x v="2"/>
    <n v="3474.82"/>
    <n v="2"/>
    <x v="4"/>
    <n v="943.25"/>
    <x v="4"/>
    <x v="3"/>
  </r>
  <r>
    <x v="150"/>
    <d v="2025-04-20T10:03:08"/>
    <s v="Sneha Yadav"/>
    <s v="Delhi"/>
    <x v="9"/>
    <x v="6"/>
    <x v="2"/>
    <n v="814.44"/>
    <n v="1"/>
    <x v="1"/>
    <n v="150.68"/>
    <x v="0"/>
    <x v="3"/>
  </r>
  <r>
    <x v="151"/>
    <d v="2025-04-21T03:33:33"/>
    <s v="Priya Joshi"/>
    <s v="Bhopal"/>
    <x v="4"/>
    <x v="2"/>
    <x v="0"/>
    <n v="22852.3"/>
    <n v="1"/>
    <x v="0"/>
    <n v="2853.98"/>
    <x v="2"/>
    <x v="3"/>
  </r>
  <r>
    <x v="152"/>
    <d v="2025-04-21T21:03:58"/>
    <s v="Ananya Verma"/>
    <s v="Pune"/>
    <x v="6"/>
    <x v="11"/>
    <x v="2"/>
    <n v="3376.33"/>
    <n v="2"/>
    <x v="2"/>
    <n v="454.43"/>
    <x v="2"/>
    <x v="3"/>
  </r>
  <r>
    <x v="153"/>
    <d v="2025-04-22T14:34:23"/>
    <s v="Sneha Patel"/>
    <s v="Bhopal"/>
    <x v="4"/>
    <x v="7"/>
    <x v="0"/>
    <n v="43277.05"/>
    <n v="2"/>
    <x v="1"/>
    <n v="8230.06"/>
    <x v="1"/>
    <x v="3"/>
  </r>
  <r>
    <x v="154"/>
    <d v="2025-04-23T08:04:49"/>
    <s v="Isha Gupta"/>
    <s v="Jaipur"/>
    <x v="2"/>
    <x v="1"/>
    <x v="1"/>
    <n v="36492.29"/>
    <n v="3"/>
    <x v="2"/>
    <n v="3510.9"/>
    <x v="4"/>
    <x v="3"/>
  </r>
  <r>
    <x v="155"/>
    <d v="2025-04-24T01:35:14"/>
    <s v="Priya Mehta"/>
    <s v="Indore"/>
    <x v="4"/>
    <x v="2"/>
    <x v="0"/>
    <n v="134213.76000000001"/>
    <n v="5"/>
    <x v="1"/>
    <n v="32873.81"/>
    <x v="3"/>
    <x v="3"/>
  </r>
  <r>
    <x v="156"/>
    <d v="2025-04-24T19:05:39"/>
    <s v="Priya Sharma"/>
    <s v="Bengaluru"/>
    <x v="5"/>
    <x v="3"/>
    <x v="2"/>
    <n v="7115.33"/>
    <n v="5"/>
    <x v="0"/>
    <n v="1704.02"/>
    <x v="0"/>
    <x v="3"/>
  </r>
  <r>
    <x v="157"/>
    <d v="2025-04-25T12:36:04"/>
    <s v="Sneha Khan"/>
    <s v="Chennai"/>
    <x v="1"/>
    <x v="10"/>
    <x v="3"/>
    <n v="74324.52"/>
    <n v="5"/>
    <x v="1"/>
    <n v="16056.19"/>
    <x v="1"/>
    <x v="3"/>
  </r>
  <r>
    <x v="158"/>
    <d v="2025-04-26T06:06:30"/>
    <s v="Kavya Yadav"/>
    <s v="Ahmedabad"/>
    <x v="0"/>
    <x v="11"/>
    <x v="2"/>
    <n v="5839.96"/>
    <n v="3"/>
    <x v="2"/>
    <n v="1493.95"/>
    <x v="0"/>
    <x v="3"/>
  </r>
  <r>
    <x v="159"/>
    <d v="2025-04-26T23:36:55"/>
    <s v="Neha Patel"/>
    <s v="Delhi"/>
    <x v="9"/>
    <x v="8"/>
    <x v="1"/>
    <n v="16759.47"/>
    <n v="2"/>
    <x v="0"/>
    <n v="3041.74"/>
    <x v="4"/>
    <x v="3"/>
  </r>
  <r>
    <x v="160"/>
    <d v="2025-04-27T17:07:20"/>
    <s v="Priya Verma"/>
    <s v="Chennai"/>
    <x v="1"/>
    <x v="9"/>
    <x v="0"/>
    <n v="54316.17"/>
    <n v="1"/>
    <x v="2"/>
    <n v="11232.65"/>
    <x v="0"/>
    <x v="3"/>
  </r>
  <r>
    <x v="161"/>
    <d v="2025-04-28T10:37:45"/>
    <s v="Rohan Khan"/>
    <s v="Ahmedabad"/>
    <x v="0"/>
    <x v="5"/>
    <x v="3"/>
    <n v="270.48"/>
    <n v="1"/>
    <x v="2"/>
    <n v="55.86"/>
    <x v="1"/>
    <x v="3"/>
  </r>
  <r>
    <x v="162"/>
    <d v="2025-04-29T04:08:11"/>
    <s v="Aarav Yadav"/>
    <s v="Pune"/>
    <x v="6"/>
    <x v="0"/>
    <x v="0"/>
    <n v="31757.3"/>
    <n v="2"/>
    <x v="4"/>
    <n v="7437.46"/>
    <x v="2"/>
    <x v="3"/>
  </r>
  <r>
    <x v="163"/>
    <d v="2025-04-29T21:38:36"/>
    <s v="Isha Singh"/>
    <s v="Jaipur"/>
    <x v="2"/>
    <x v="5"/>
    <x v="3"/>
    <n v="663.43"/>
    <n v="3"/>
    <x v="3"/>
    <n v="142.78"/>
    <x v="0"/>
    <x v="3"/>
  </r>
  <r>
    <x v="164"/>
    <d v="2025-04-30T15:09:01"/>
    <s v="Aditya Yadav"/>
    <s v="Mumbai"/>
    <x v="6"/>
    <x v="0"/>
    <x v="0"/>
    <n v="67555.86"/>
    <n v="5"/>
    <x v="4"/>
    <n v="16504.07"/>
    <x v="3"/>
    <x v="3"/>
  </r>
  <r>
    <x v="165"/>
    <d v="2025-05-01T08:39:26"/>
    <s v="Neha Singh"/>
    <s v="Bhopal"/>
    <x v="4"/>
    <x v="2"/>
    <x v="0"/>
    <n v="169993.66"/>
    <n v="5"/>
    <x v="4"/>
    <n v="42641.54"/>
    <x v="3"/>
    <x v="4"/>
  </r>
  <r>
    <x v="166"/>
    <d v="2025-05-02T02:09:52"/>
    <s v="Isha Gupta"/>
    <s v="Pune"/>
    <x v="6"/>
    <x v="6"/>
    <x v="2"/>
    <n v="2013.07"/>
    <n v="3"/>
    <x v="3"/>
    <n v="221.86"/>
    <x v="4"/>
    <x v="4"/>
  </r>
  <r>
    <x v="167"/>
    <d v="2025-05-02T19:40:17"/>
    <s v="Isha Khan"/>
    <s v="Chennai"/>
    <x v="1"/>
    <x v="0"/>
    <x v="0"/>
    <n v="31324.09"/>
    <n v="3"/>
    <x v="3"/>
    <n v="5070.33"/>
    <x v="3"/>
    <x v="4"/>
  </r>
  <r>
    <x v="168"/>
    <d v="2025-05-03T13:10:42"/>
    <s v="Sneha Mehta"/>
    <s v="Mumbai"/>
    <x v="6"/>
    <x v="9"/>
    <x v="0"/>
    <n v="52691.62"/>
    <n v="1"/>
    <x v="1"/>
    <n v="9184.49"/>
    <x v="1"/>
    <x v="4"/>
  </r>
  <r>
    <x v="169"/>
    <d v="2025-05-04T06:41:07"/>
    <s v="Arjun Jain"/>
    <s v="Hyderabad"/>
    <x v="3"/>
    <x v="9"/>
    <x v="0"/>
    <n v="253146.35"/>
    <n v="5"/>
    <x v="0"/>
    <n v="63022.47"/>
    <x v="0"/>
    <x v="4"/>
  </r>
  <r>
    <x v="170"/>
    <d v="2025-05-05T00:11:33"/>
    <s v="Neha Sharma"/>
    <s v="Kolkata"/>
    <x v="7"/>
    <x v="11"/>
    <x v="2"/>
    <n v="8209.82"/>
    <n v="4"/>
    <x v="4"/>
    <n v="1415.53"/>
    <x v="1"/>
    <x v="4"/>
  </r>
  <r>
    <x v="171"/>
    <d v="2025-05-05T17:41:58"/>
    <s v="Rahul Gupta"/>
    <s v="Pune"/>
    <x v="6"/>
    <x v="0"/>
    <x v="0"/>
    <n v="12105.09"/>
    <n v="1"/>
    <x v="2"/>
    <n v="1123.8599999999999"/>
    <x v="4"/>
    <x v="4"/>
  </r>
  <r>
    <x v="172"/>
    <d v="2025-05-06T11:12:23"/>
    <s v="Vihaan Khan"/>
    <s v="Bhopal"/>
    <x v="4"/>
    <x v="1"/>
    <x v="1"/>
    <n v="41231"/>
    <n v="3"/>
    <x v="4"/>
    <n v="7129.65"/>
    <x v="0"/>
    <x v="4"/>
  </r>
  <r>
    <x v="173"/>
    <d v="2025-05-07T04:42:48"/>
    <s v="Priya Joshi"/>
    <s v="Hyderabad"/>
    <x v="3"/>
    <x v="9"/>
    <x v="0"/>
    <n v="238470.17"/>
    <n v="4"/>
    <x v="4"/>
    <n v="41994.93"/>
    <x v="2"/>
    <x v="4"/>
  </r>
  <r>
    <x v="174"/>
    <d v="2025-05-07T22:13:14"/>
    <s v="Isha Sharma"/>
    <s v="Kolkata"/>
    <x v="7"/>
    <x v="10"/>
    <x v="3"/>
    <n v="57279.93"/>
    <n v="4"/>
    <x v="1"/>
    <n v="4694.33"/>
    <x v="3"/>
    <x v="4"/>
  </r>
  <r>
    <x v="175"/>
    <d v="2025-05-08T15:43:39"/>
    <s v="Rahul Jain"/>
    <s v="Indore"/>
    <x v="4"/>
    <x v="9"/>
    <x v="0"/>
    <n v="52535.34"/>
    <n v="1"/>
    <x v="4"/>
    <n v="5028.46"/>
    <x v="3"/>
    <x v="4"/>
  </r>
  <r>
    <x v="176"/>
    <d v="2025-05-09T09:14:04"/>
    <s v="Neha Sharma"/>
    <s v="Jaipur"/>
    <x v="2"/>
    <x v="8"/>
    <x v="1"/>
    <n v="16169.64"/>
    <n v="2"/>
    <x v="0"/>
    <n v="1940.84"/>
    <x v="0"/>
    <x v="4"/>
  </r>
  <r>
    <x v="177"/>
    <d v="2025-05-10T02:44:29"/>
    <s v="Vihaan Mehta"/>
    <s v="Mumbai"/>
    <x v="6"/>
    <x v="3"/>
    <x v="2"/>
    <n v="2035.55"/>
    <n v="1"/>
    <x v="4"/>
    <n v="383.21"/>
    <x v="3"/>
    <x v="4"/>
  </r>
  <r>
    <x v="178"/>
    <d v="2025-05-10T20:14:55"/>
    <s v="Rahul Yadav"/>
    <s v="Kolkata"/>
    <x v="7"/>
    <x v="0"/>
    <x v="0"/>
    <n v="37623.08"/>
    <n v="3"/>
    <x v="1"/>
    <n v="7170.97"/>
    <x v="3"/>
    <x v="4"/>
  </r>
  <r>
    <x v="179"/>
    <d v="2025-05-11T13:45:20"/>
    <s v="Neha Joshi"/>
    <s v="Mumbai"/>
    <x v="6"/>
    <x v="10"/>
    <x v="3"/>
    <n v="64168.61"/>
    <n v="4"/>
    <x v="4"/>
    <n v="5908.03"/>
    <x v="4"/>
    <x v="4"/>
  </r>
  <r>
    <x v="180"/>
    <d v="2025-05-12T07:15:45"/>
    <s v="Neha Gupta"/>
    <s v="Mumbai"/>
    <x v="6"/>
    <x v="5"/>
    <x v="3"/>
    <n v="814.22"/>
    <n v="3"/>
    <x v="2"/>
    <n v="94.79"/>
    <x v="0"/>
    <x v="4"/>
  </r>
  <r>
    <x v="181"/>
    <d v="2025-05-13T00:46:10"/>
    <s v="Sneha Verma"/>
    <s v="Kolkata"/>
    <x v="7"/>
    <x v="2"/>
    <x v="0"/>
    <n v="59620.79"/>
    <n v="2"/>
    <x v="2"/>
    <n v="11238.26"/>
    <x v="1"/>
    <x v="4"/>
  </r>
  <r>
    <x v="182"/>
    <d v="2025-05-13T18:16:36"/>
    <s v="Neha Sharma"/>
    <s v="Lucknow"/>
    <x v="8"/>
    <x v="4"/>
    <x v="0"/>
    <n v="6527.7"/>
    <n v="3"/>
    <x v="2"/>
    <n v="788"/>
    <x v="4"/>
    <x v="4"/>
  </r>
  <r>
    <x v="183"/>
    <d v="2025-05-14T11:47:01"/>
    <s v="Isha Mehta"/>
    <s v="Lucknow"/>
    <x v="8"/>
    <x v="1"/>
    <x v="1"/>
    <n v="44868.79"/>
    <n v="4"/>
    <x v="1"/>
    <n v="10478.870000000001"/>
    <x v="3"/>
    <x v="4"/>
  </r>
  <r>
    <x v="184"/>
    <d v="2025-05-15T05:17:26"/>
    <s v="Vihaan Patel"/>
    <s v="Indore"/>
    <x v="4"/>
    <x v="4"/>
    <x v="0"/>
    <n v="2208.56"/>
    <n v="1"/>
    <x v="1"/>
    <n v="391.65"/>
    <x v="1"/>
    <x v="4"/>
  </r>
  <r>
    <x v="185"/>
    <d v="2025-05-15T22:47:51"/>
    <s v="Aditya Patel"/>
    <s v="Jaipur"/>
    <x v="2"/>
    <x v="8"/>
    <x v="1"/>
    <n v="19624.64"/>
    <n v="2"/>
    <x v="2"/>
    <n v="2979.61"/>
    <x v="4"/>
    <x v="4"/>
  </r>
  <r>
    <x v="186"/>
    <d v="2025-05-16T16:18:17"/>
    <s v="Isha Patel"/>
    <s v="Indore"/>
    <x v="4"/>
    <x v="4"/>
    <x v="0"/>
    <n v="4258.99"/>
    <n v="2"/>
    <x v="3"/>
    <n v="493.77"/>
    <x v="4"/>
    <x v="4"/>
  </r>
  <r>
    <x v="187"/>
    <d v="2025-05-17T09:48:42"/>
    <s v="Priya Jain"/>
    <s v="Delhi"/>
    <x v="9"/>
    <x v="6"/>
    <x v="2"/>
    <n v="4415.17"/>
    <n v="5"/>
    <x v="4"/>
    <n v="710.86"/>
    <x v="2"/>
    <x v="4"/>
  </r>
  <r>
    <x v="188"/>
    <d v="2025-05-18T03:19:07"/>
    <s v="Rohan Gupta"/>
    <s v="Pune"/>
    <x v="6"/>
    <x v="2"/>
    <x v="0"/>
    <n v="23215.78"/>
    <n v="1"/>
    <x v="3"/>
    <n v="3055.82"/>
    <x v="2"/>
    <x v="4"/>
  </r>
  <r>
    <x v="189"/>
    <d v="2025-05-18T20:49:32"/>
    <s v="Aditya Khan"/>
    <s v="Bengaluru"/>
    <x v="5"/>
    <x v="7"/>
    <x v="0"/>
    <n v="95383.12"/>
    <n v="4"/>
    <x v="2"/>
    <n v="12133.7"/>
    <x v="3"/>
    <x v="4"/>
  </r>
  <r>
    <x v="190"/>
    <d v="2025-05-19T14:19:58"/>
    <s v="Aarav Joshi"/>
    <s v="Lucknow"/>
    <x v="8"/>
    <x v="7"/>
    <x v="0"/>
    <n v="21543.86"/>
    <n v="1"/>
    <x v="4"/>
    <n v="4382.6499999999996"/>
    <x v="1"/>
    <x v="4"/>
  </r>
  <r>
    <x v="191"/>
    <d v="2025-05-20T07:50:23"/>
    <s v="Aarav Mehta"/>
    <s v="Kolkata"/>
    <x v="7"/>
    <x v="10"/>
    <x v="3"/>
    <n v="43372.29"/>
    <n v="3"/>
    <x v="1"/>
    <n v="7586.95"/>
    <x v="1"/>
    <x v="4"/>
  </r>
  <r>
    <x v="192"/>
    <d v="2025-05-21T01:20:48"/>
    <s v="Ananya Gupta"/>
    <s v="Bengaluru"/>
    <x v="5"/>
    <x v="7"/>
    <x v="0"/>
    <n v="89053.51"/>
    <n v="4"/>
    <x v="4"/>
    <n v="24697.98"/>
    <x v="1"/>
    <x v="4"/>
  </r>
  <r>
    <x v="193"/>
    <d v="2025-05-21T18:51:13"/>
    <s v="Aarav Verma"/>
    <s v="Lucknow"/>
    <x v="8"/>
    <x v="9"/>
    <x v="0"/>
    <n v="130107.08"/>
    <n v="3"/>
    <x v="3"/>
    <n v="18635.400000000001"/>
    <x v="1"/>
    <x v="4"/>
  </r>
  <r>
    <x v="194"/>
    <d v="2025-05-22T12:21:39"/>
    <s v="Ananya Patel"/>
    <s v="Lucknow"/>
    <x v="8"/>
    <x v="0"/>
    <x v="0"/>
    <n v="62620.06"/>
    <n v="5"/>
    <x v="1"/>
    <n v="5227.2700000000004"/>
    <x v="4"/>
    <x v="4"/>
  </r>
  <r>
    <x v="195"/>
    <d v="2025-05-23T05:52:04"/>
    <s v="Arjun Patel"/>
    <s v="Hyderabad"/>
    <x v="3"/>
    <x v="8"/>
    <x v="1"/>
    <n v="24218.69"/>
    <n v="3"/>
    <x v="1"/>
    <n v="2613.9299999999998"/>
    <x v="3"/>
    <x v="4"/>
  </r>
  <r>
    <x v="196"/>
    <d v="2025-05-23T23:22:29"/>
    <s v="Rahul Gupta"/>
    <s v="Kolkata"/>
    <x v="7"/>
    <x v="8"/>
    <x v="1"/>
    <n v="14685.38"/>
    <n v="2"/>
    <x v="1"/>
    <n v="1633.5"/>
    <x v="3"/>
    <x v="4"/>
  </r>
  <r>
    <x v="197"/>
    <d v="2025-05-24T16:52:54"/>
    <s v="Kavya Mehta"/>
    <s v="Indore"/>
    <x v="4"/>
    <x v="8"/>
    <x v="1"/>
    <n v="17321.2"/>
    <n v="2"/>
    <x v="4"/>
    <n v="2231.48"/>
    <x v="2"/>
    <x v="4"/>
  </r>
  <r>
    <x v="198"/>
    <d v="2025-05-25T10:23:20"/>
    <s v="Rohan Gupta"/>
    <s v="Kolkata"/>
    <x v="7"/>
    <x v="3"/>
    <x v="2"/>
    <n v="1712.11"/>
    <n v="1"/>
    <x v="1"/>
    <n v="210.82"/>
    <x v="2"/>
    <x v="4"/>
  </r>
  <r>
    <x v="199"/>
    <d v="2025-05-26T03:53:45"/>
    <s v="Ananya Joshi"/>
    <s v="Lucknow"/>
    <x v="8"/>
    <x v="7"/>
    <x v="0"/>
    <n v="50592.26"/>
    <n v="2"/>
    <x v="4"/>
    <n v="13934.87"/>
    <x v="4"/>
    <x v="4"/>
  </r>
  <r>
    <x v="200"/>
    <d v="2025-05-26T21:24:10"/>
    <s v="Rahul Singh"/>
    <s v="Hyderabad"/>
    <x v="3"/>
    <x v="11"/>
    <x v="2"/>
    <n v="8429.4500000000007"/>
    <n v="5"/>
    <x v="4"/>
    <n v="1771.05"/>
    <x v="0"/>
    <x v="4"/>
  </r>
  <r>
    <x v="201"/>
    <d v="2025-05-27T14:54:35"/>
    <s v="Aarav Mehta"/>
    <s v="Jaipur"/>
    <x v="2"/>
    <x v="2"/>
    <x v="0"/>
    <n v="63461.94"/>
    <n v="2"/>
    <x v="2"/>
    <n v="16105.38"/>
    <x v="2"/>
    <x v="4"/>
  </r>
  <r>
    <x v="202"/>
    <d v="2025-05-28T08:25:01"/>
    <s v="Ananya Sharma"/>
    <s v="Delhi"/>
    <x v="9"/>
    <x v="9"/>
    <x v="0"/>
    <n v="204524.01"/>
    <n v="4"/>
    <x v="1"/>
    <n v="31922.91"/>
    <x v="2"/>
    <x v="4"/>
  </r>
  <r>
    <x v="203"/>
    <d v="2025-05-29T01:55:26"/>
    <s v="Kavya Patel"/>
    <s v="Indore"/>
    <x v="4"/>
    <x v="4"/>
    <x v="0"/>
    <n v="7689.6"/>
    <n v="4"/>
    <x v="1"/>
    <n v="874.22"/>
    <x v="2"/>
    <x v="4"/>
  </r>
  <r>
    <x v="204"/>
    <d v="2025-05-29T19:25:51"/>
    <s v="Kavya Joshi"/>
    <s v="Mumbai"/>
    <x v="6"/>
    <x v="11"/>
    <x v="2"/>
    <n v="3474.46"/>
    <n v="2"/>
    <x v="0"/>
    <n v="913.25"/>
    <x v="1"/>
    <x v="4"/>
  </r>
  <r>
    <x v="205"/>
    <d v="2025-05-30T12:56:16"/>
    <s v="Neha Khan"/>
    <s v="Delhi"/>
    <x v="9"/>
    <x v="2"/>
    <x v="0"/>
    <n v="131644.47"/>
    <n v="5"/>
    <x v="2"/>
    <n v="20914.759999999998"/>
    <x v="3"/>
    <x v="4"/>
  </r>
  <r>
    <x v="206"/>
    <d v="2025-05-31T06:26:42"/>
    <s v="Rohan Joshi"/>
    <s v="Kolkata"/>
    <x v="7"/>
    <x v="3"/>
    <x v="2"/>
    <n v="4619.54"/>
    <n v="3"/>
    <x v="4"/>
    <n v="376.55"/>
    <x v="1"/>
    <x v="4"/>
  </r>
  <r>
    <x v="207"/>
    <d v="2025-05-31T23:57:07"/>
    <s v="Arjun Gupta"/>
    <s v="Chennai"/>
    <x v="1"/>
    <x v="4"/>
    <x v="0"/>
    <n v="10738.14"/>
    <n v="4"/>
    <x v="2"/>
    <n v="1076.8699999999999"/>
    <x v="1"/>
    <x v="4"/>
  </r>
  <r>
    <x v="208"/>
    <d v="2025-06-01T17:27:32"/>
    <s v="Vihaan Sharma"/>
    <s v="Chennai"/>
    <x v="1"/>
    <x v="7"/>
    <x v="0"/>
    <n v="67602.45"/>
    <n v="3"/>
    <x v="4"/>
    <n v="15110.98"/>
    <x v="4"/>
    <x v="5"/>
  </r>
  <r>
    <x v="209"/>
    <d v="2025-06-02T10:57:57"/>
    <s v="Neha Jain"/>
    <s v="Pune"/>
    <x v="6"/>
    <x v="5"/>
    <x v="3"/>
    <n v="251.69"/>
    <n v="1"/>
    <x v="4"/>
    <n v="63.4"/>
    <x v="2"/>
    <x v="5"/>
  </r>
  <r>
    <x v="210"/>
    <d v="2025-06-03T04:28:23"/>
    <s v="Isha Mehta"/>
    <s v="Lucknow"/>
    <x v="8"/>
    <x v="5"/>
    <x v="0"/>
    <n v="977.36"/>
    <n v="4"/>
    <x v="4"/>
    <n v="237.64"/>
    <x v="4"/>
    <x v="5"/>
  </r>
  <r>
    <x v="211"/>
    <d v="2025-06-03T21:58:48"/>
    <s v="Ananya Yadav"/>
    <s v="Lucknow"/>
    <x v="8"/>
    <x v="3"/>
    <x v="2"/>
    <n v="7883.2"/>
    <n v="5"/>
    <x v="0"/>
    <n v="2024.73"/>
    <x v="2"/>
    <x v="5"/>
  </r>
  <r>
    <x v="212"/>
    <d v="2025-06-04T15:29:13"/>
    <s v="Aarav Yadav"/>
    <s v="Lucknow"/>
    <x v="8"/>
    <x v="1"/>
    <x v="1"/>
    <n v="18398.05"/>
    <n v="2"/>
    <x v="3"/>
    <n v="4304.9399999999996"/>
    <x v="0"/>
    <x v="5"/>
  </r>
  <r>
    <x v="213"/>
    <d v="2025-06-05T08:59:38"/>
    <s v="Ananya Patel"/>
    <s v="Delhi"/>
    <x v="9"/>
    <x v="0"/>
    <x v="0"/>
    <n v="25456.18"/>
    <n v="2"/>
    <x v="0"/>
    <n v="5454.88"/>
    <x v="0"/>
    <x v="5"/>
  </r>
  <r>
    <x v="214"/>
    <d v="2025-06-06T02:30:04"/>
    <s v="Isha Patel"/>
    <s v="Pune"/>
    <x v="6"/>
    <x v="5"/>
    <x v="3"/>
    <n v="244.3"/>
    <n v="1"/>
    <x v="4"/>
    <n v="31.04"/>
    <x v="2"/>
    <x v="5"/>
  </r>
  <r>
    <x v="215"/>
    <d v="2025-06-06T20:00:29"/>
    <s v="Neha Yadav"/>
    <s v="Ahmedabad"/>
    <x v="0"/>
    <x v="11"/>
    <x v="2"/>
    <n v="1545.04"/>
    <n v="1"/>
    <x v="2"/>
    <n v="194.75"/>
    <x v="2"/>
    <x v="5"/>
  </r>
  <r>
    <x v="216"/>
    <d v="2025-06-07T13:30:54"/>
    <s v="Kavya Khan"/>
    <s v="Hyderabad"/>
    <x v="3"/>
    <x v="10"/>
    <x v="3"/>
    <n v="25173.77"/>
    <n v="2"/>
    <x v="1"/>
    <n v="5416.6"/>
    <x v="4"/>
    <x v="5"/>
  </r>
  <r>
    <x v="217"/>
    <d v="2025-06-08T07:01:19"/>
    <s v="Arjun Yadav"/>
    <s v="Ahmedabad"/>
    <x v="0"/>
    <x v="10"/>
    <x v="3"/>
    <n v="12180.13"/>
    <n v="1"/>
    <x v="2"/>
    <n v="2968.8"/>
    <x v="3"/>
    <x v="5"/>
  </r>
  <r>
    <x v="218"/>
    <d v="2025-06-09T00:31:45"/>
    <s v="Sneha Khan"/>
    <s v="Ahmedabad"/>
    <x v="0"/>
    <x v="0"/>
    <x v="0"/>
    <n v="78278.009999999995"/>
    <n v="5"/>
    <x v="4"/>
    <n v="11324.82"/>
    <x v="2"/>
    <x v="5"/>
  </r>
  <r>
    <x v="219"/>
    <d v="2025-06-09T18:02:10"/>
    <s v="Sneha Gupta"/>
    <s v="Ahmedabad"/>
    <x v="0"/>
    <x v="0"/>
    <x v="0"/>
    <n v="70400.259999999995"/>
    <n v="5"/>
    <x v="4"/>
    <n v="16901.080000000002"/>
    <x v="3"/>
    <x v="5"/>
  </r>
  <r>
    <x v="220"/>
    <d v="2025-06-10T11:32:35"/>
    <s v="Neha Patel"/>
    <s v="Mumbai"/>
    <x v="6"/>
    <x v="6"/>
    <x v="2"/>
    <n v="3239.77"/>
    <n v="4"/>
    <x v="2"/>
    <n v="692.98"/>
    <x v="2"/>
    <x v="5"/>
  </r>
  <r>
    <x v="221"/>
    <d v="2025-06-11T05:03:00"/>
    <s v="Ananya Jain"/>
    <s v="Mumbai"/>
    <x v="6"/>
    <x v="2"/>
    <x v="0"/>
    <n v="93748.61"/>
    <n v="4"/>
    <x v="1"/>
    <n v="25455.1"/>
    <x v="3"/>
    <x v="5"/>
  </r>
  <r>
    <x v="222"/>
    <d v="2025-06-11T22:33:26"/>
    <s v="Neha Verma"/>
    <s v="Hyderabad"/>
    <x v="3"/>
    <x v="8"/>
    <x v="1"/>
    <n v="30918.39"/>
    <n v="4"/>
    <x v="1"/>
    <n v="7392.28"/>
    <x v="4"/>
    <x v="5"/>
  </r>
  <r>
    <x v="223"/>
    <d v="2025-06-12T16:03:51"/>
    <s v="Rahul Patel"/>
    <s v="Pune"/>
    <x v="6"/>
    <x v="1"/>
    <x v="1"/>
    <n v="39877.79"/>
    <n v="4"/>
    <x v="1"/>
    <n v="3931.38"/>
    <x v="2"/>
    <x v="5"/>
  </r>
  <r>
    <x v="224"/>
    <d v="2025-06-13T09:34:16"/>
    <s v="Vihaan Patel"/>
    <s v="Delhi"/>
    <x v="9"/>
    <x v="7"/>
    <x v="0"/>
    <n v="93510.86"/>
    <n v="4"/>
    <x v="4"/>
    <n v="13150.03"/>
    <x v="2"/>
    <x v="5"/>
  </r>
  <r>
    <x v="225"/>
    <d v="2025-06-14T03:04:41"/>
    <s v="Neha Yadav"/>
    <s v="Delhi"/>
    <x v="9"/>
    <x v="2"/>
    <x v="0"/>
    <n v="74659.039999999994"/>
    <n v="3"/>
    <x v="1"/>
    <n v="18295.740000000002"/>
    <x v="1"/>
    <x v="5"/>
  </r>
  <r>
    <x v="226"/>
    <d v="2025-06-14T20:35:07"/>
    <s v="Arjun Yadav"/>
    <s v="Bhopal"/>
    <x v="4"/>
    <x v="8"/>
    <x v="1"/>
    <n v="26386.959999999999"/>
    <n v="3"/>
    <x v="1"/>
    <n v="5101"/>
    <x v="1"/>
    <x v="5"/>
  </r>
  <r>
    <x v="227"/>
    <d v="2025-06-15T14:05:32"/>
    <s v="Rahul Verma"/>
    <s v="Indore"/>
    <x v="4"/>
    <x v="5"/>
    <x v="3"/>
    <n v="467.27"/>
    <n v="2"/>
    <x v="1"/>
    <n v="87.14"/>
    <x v="1"/>
    <x v="5"/>
  </r>
  <r>
    <x v="228"/>
    <d v="2025-06-16T07:35:57"/>
    <s v="Arjun Patel"/>
    <s v="Hyderabad"/>
    <x v="3"/>
    <x v="11"/>
    <x v="2"/>
    <n v="4384"/>
    <n v="3"/>
    <x v="1"/>
    <n v="654.17999999999995"/>
    <x v="3"/>
    <x v="5"/>
  </r>
  <r>
    <x v="229"/>
    <d v="2025-06-17T01:06:22"/>
    <s v="Aarav Khan"/>
    <s v="Hyderabad"/>
    <x v="3"/>
    <x v="2"/>
    <x v="0"/>
    <n v="28323.48"/>
    <n v="1"/>
    <x v="2"/>
    <n v="5700.79"/>
    <x v="4"/>
    <x v="5"/>
  </r>
  <r>
    <x v="230"/>
    <d v="2025-06-17T18:36:48"/>
    <s v="Priya Gupta"/>
    <s v="Pune"/>
    <x v="6"/>
    <x v="4"/>
    <x v="0"/>
    <n v="7271.99"/>
    <n v="3"/>
    <x v="4"/>
    <n v="1116.3"/>
    <x v="3"/>
    <x v="5"/>
  </r>
  <r>
    <x v="231"/>
    <d v="2025-06-18T12:07:13"/>
    <s v="Isha Singh"/>
    <s v="Pune"/>
    <x v="6"/>
    <x v="10"/>
    <x v="3"/>
    <n v="44573.47"/>
    <n v="4"/>
    <x v="0"/>
    <n v="4653.78"/>
    <x v="3"/>
    <x v="5"/>
  </r>
  <r>
    <x v="232"/>
    <d v="2025-06-19T05:37:38"/>
    <s v="Aditya Gupta"/>
    <s v="Kolkata"/>
    <x v="7"/>
    <x v="6"/>
    <x v="2"/>
    <n v="3463.99"/>
    <n v="5"/>
    <x v="1"/>
    <n v="529.85"/>
    <x v="0"/>
    <x v="5"/>
  </r>
  <r>
    <x v="233"/>
    <d v="2025-06-19T23:08:03"/>
    <s v="Priya Joshi"/>
    <s v="Bhopal"/>
    <x v="4"/>
    <x v="5"/>
    <x v="3"/>
    <n v="173.49"/>
    <n v="1"/>
    <x v="3"/>
    <n v="15.88"/>
    <x v="0"/>
    <x v="5"/>
  </r>
  <r>
    <x v="234"/>
    <d v="2025-06-20T16:38:29"/>
    <s v="Isha Sharma"/>
    <s v="Hyderabad"/>
    <x v="3"/>
    <x v="4"/>
    <x v="0"/>
    <n v="10526.18"/>
    <n v="5"/>
    <x v="2"/>
    <n v="1054.82"/>
    <x v="1"/>
    <x v="5"/>
  </r>
  <r>
    <x v="235"/>
    <d v="2025-06-21T10:08:54"/>
    <s v="Arjun Khan"/>
    <s v="Pune"/>
    <x v="6"/>
    <x v="8"/>
    <x v="1"/>
    <n v="8278.14"/>
    <n v="1"/>
    <x v="4"/>
    <n v="949.92"/>
    <x v="3"/>
    <x v="5"/>
  </r>
  <r>
    <x v="236"/>
    <d v="2025-06-22T03:39:19"/>
    <s v="Neha Gupta"/>
    <s v="Delhi"/>
    <x v="9"/>
    <x v="0"/>
    <x v="0"/>
    <n v="60245.06"/>
    <n v="5"/>
    <x v="1"/>
    <n v="10622.83"/>
    <x v="4"/>
    <x v="5"/>
  </r>
  <r>
    <x v="237"/>
    <d v="2025-06-22T21:09:44"/>
    <s v="Rohan Yadav"/>
    <s v="Jaipur"/>
    <x v="2"/>
    <x v="11"/>
    <x v="2"/>
    <n v="3044.28"/>
    <n v="2"/>
    <x v="2"/>
    <n v="724.74"/>
    <x v="3"/>
    <x v="5"/>
  </r>
  <r>
    <x v="238"/>
    <d v="2025-06-23T14:40:10"/>
    <s v="Rohan Gupta"/>
    <s v="Bengaluru"/>
    <x v="5"/>
    <x v="8"/>
    <x v="1"/>
    <n v="41155.230000000003"/>
    <n v="5"/>
    <x v="4"/>
    <n v="5277.76"/>
    <x v="3"/>
    <x v="5"/>
  </r>
  <r>
    <x v="239"/>
    <d v="2025-06-24T08:10:35"/>
    <s v="Arjun Jain"/>
    <s v="Delhi"/>
    <x v="9"/>
    <x v="0"/>
    <x v="0"/>
    <n v="11124.8"/>
    <n v="1"/>
    <x v="1"/>
    <n v="1900.96"/>
    <x v="4"/>
    <x v="5"/>
  </r>
  <r>
    <x v="240"/>
    <d v="2025-06-25T01:41:00"/>
    <s v="Ananya Singh"/>
    <s v="Lucknow"/>
    <x v="8"/>
    <x v="0"/>
    <x v="0"/>
    <n v="23874.55"/>
    <n v="2"/>
    <x v="1"/>
    <n v="4182.91"/>
    <x v="4"/>
    <x v="5"/>
  </r>
  <r>
    <x v="241"/>
    <d v="2025-06-25T19:11:25"/>
    <s v="Priya Joshi"/>
    <s v="Jaipur"/>
    <x v="2"/>
    <x v="5"/>
    <x v="3"/>
    <n v="1421.08"/>
    <n v="5"/>
    <x v="4"/>
    <n v="142.72"/>
    <x v="2"/>
    <x v="5"/>
  </r>
  <r>
    <x v="242"/>
    <d v="2025-06-26T12:41:51"/>
    <s v="Isha Mehta"/>
    <s v="Indore"/>
    <x v="4"/>
    <x v="2"/>
    <x v="0"/>
    <n v="99513.46"/>
    <n v="4"/>
    <x v="2"/>
    <n v="26476.93"/>
    <x v="4"/>
    <x v="5"/>
  </r>
  <r>
    <x v="243"/>
    <d v="2025-06-27T06:12:16"/>
    <s v="Aarav Jain"/>
    <s v="Kolkata"/>
    <x v="7"/>
    <x v="3"/>
    <x v="2"/>
    <n v="3303.4"/>
    <n v="2"/>
    <x v="2"/>
    <n v="414.22"/>
    <x v="4"/>
    <x v="5"/>
  </r>
  <r>
    <x v="244"/>
    <d v="2025-06-27T23:42:41"/>
    <s v="Ananya Jain"/>
    <s v="Mumbai"/>
    <x v="6"/>
    <x v="11"/>
    <x v="2"/>
    <n v="6503.76"/>
    <n v="4"/>
    <x v="1"/>
    <n v="574.51"/>
    <x v="0"/>
    <x v="5"/>
  </r>
  <r>
    <x v="245"/>
    <d v="2025-06-28T17:13:06"/>
    <s v="Kavya Singh"/>
    <s v="Indore"/>
    <x v="4"/>
    <x v="4"/>
    <x v="0"/>
    <n v="5121.79"/>
    <n v="3"/>
    <x v="3"/>
    <n v="1165.22"/>
    <x v="0"/>
    <x v="5"/>
  </r>
  <r>
    <x v="246"/>
    <d v="2025-06-29T10:43:32"/>
    <s v="Rahul Mehta"/>
    <s v="Pune"/>
    <x v="6"/>
    <x v="4"/>
    <x v="0"/>
    <n v="6791.69"/>
    <n v="3"/>
    <x v="4"/>
    <n v="676.99"/>
    <x v="3"/>
    <x v="5"/>
  </r>
  <r>
    <x v="247"/>
    <d v="2025-06-30T04:13:57"/>
    <s v="Vihaan Patel"/>
    <s v="Jaipur"/>
    <x v="2"/>
    <x v="7"/>
    <x v="0"/>
    <n v="17552.45"/>
    <n v="1"/>
    <x v="0"/>
    <n v="3597.07"/>
    <x v="0"/>
    <x v="5"/>
  </r>
  <r>
    <x v="248"/>
    <d v="2025-06-30T21:44:22"/>
    <s v="Vihaan Yadav"/>
    <s v="Indore"/>
    <x v="4"/>
    <x v="0"/>
    <x v="0"/>
    <n v="54552.46"/>
    <n v="4"/>
    <x v="1"/>
    <n v="10150.049999999999"/>
    <x v="4"/>
    <x v="5"/>
  </r>
  <r>
    <x v="249"/>
    <d v="2025-07-01T15:14:47"/>
    <s v="Isha Patel"/>
    <s v="Pune"/>
    <x v="6"/>
    <x v="7"/>
    <x v="0"/>
    <n v="67953.070000000007"/>
    <n v="3"/>
    <x v="1"/>
    <n v="13351.73"/>
    <x v="0"/>
    <x v="6"/>
  </r>
  <r>
    <x v="250"/>
    <d v="2025-07-02T08:45:13"/>
    <s v="Isha Yadav"/>
    <s v="Lucknow"/>
    <x v="8"/>
    <x v="9"/>
    <x v="0"/>
    <n v="95866.7"/>
    <n v="2"/>
    <x v="2"/>
    <n v="15953.69"/>
    <x v="2"/>
    <x v="6"/>
  </r>
  <r>
    <x v="251"/>
    <d v="2025-07-03T02:15:38"/>
    <s v="Aarav Mehta"/>
    <s v="Bhopal"/>
    <x v="4"/>
    <x v="6"/>
    <x v="2"/>
    <n v="3319.95"/>
    <n v="4"/>
    <x v="4"/>
    <n v="396.71"/>
    <x v="4"/>
    <x v="6"/>
  </r>
  <r>
    <x v="252"/>
    <d v="2025-07-03T19:46:03"/>
    <s v="Rohan Mehta"/>
    <s v="Mumbai"/>
    <x v="6"/>
    <x v="5"/>
    <x v="3"/>
    <n v="208.69"/>
    <n v="1"/>
    <x v="1"/>
    <n v="43.24"/>
    <x v="1"/>
    <x v="6"/>
  </r>
  <r>
    <x v="253"/>
    <d v="2025-07-04T13:16:28"/>
    <s v="Vihaan Gupta"/>
    <s v="Chennai"/>
    <x v="1"/>
    <x v="6"/>
    <x v="2"/>
    <n v="2261.84"/>
    <n v="3"/>
    <x v="1"/>
    <n v="510.25"/>
    <x v="1"/>
    <x v="6"/>
  </r>
  <r>
    <x v="254"/>
    <d v="2025-07-05T06:46:54"/>
    <s v="Rohan Sharma"/>
    <s v="Chennai"/>
    <x v="1"/>
    <x v="2"/>
    <x v="0"/>
    <n v="76539.839999999997"/>
    <n v="3"/>
    <x v="2"/>
    <n v="12451.75"/>
    <x v="0"/>
    <x v="6"/>
  </r>
  <r>
    <x v="255"/>
    <d v="2025-07-06T00:17:19"/>
    <s v="Rohan Mehta"/>
    <s v="Jaipur"/>
    <x v="2"/>
    <x v="4"/>
    <x v="0"/>
    <n v="9878.93"/>
    <n v="5"/>
    <x v="1"/>
    <n v="2523.35"/>
    <x v="3"/>
    <x v="6"/>
  </r>
  <r>
    <x v="256"/>
    <d v="2025-07-06T17:47:44"/>
    <s v="Aditya Yadav"/>
    <s v="Lucknow"/>
    <x v="8"/>
    <x v="1"/>
    <x v="1"/>
    <n v="10939.64"/>
    <n v="1"/>
    <x v="0"/>
    <n v="1483.2"/>
    <x v="3"/>
    <x v="6"/>
  </r>
  <r>
    <x v="257"/>
    <d v="2025-07-07T11:18:09"/>
    <s v="Vihaan Joshi"/>
    <s v="Chennai"/>
    <x v="1"/>
    <x v="10"/>
    <x v="3"/>
    <n v="27353.96"/>
    <n v="2"/>
    <x v="0"/>
    <n v="5552.73"/>
    <x v="4"/>
    <x v="6"/>
  </r>
  <r>
    <x v="258"/>
    <d v="2025-07-08T04:48:35"/>
    <s v="Aarav Joshi"/>
    <s v="Hyderabad"/>
    <x v="3"/>
    <x v="0"/>
    <x v="0"/>
    <n v="40534.68"/>
    <n v="4"/>
    <x v="0"/>
    <n v="3529.04"/>
    <x v="3"/>
    <x v="6"/>
  </r>
  <r>
    <x v="259"/>
    <d v="2025-07-08T22:19:00"/>
    <s v="Priya Verma"/>
    <s v="Delhi"/>
    <x v="9"/>
    <x v="10"/>
    <x v="3"/>
    <n v="56884.77"/>
    <n v="4"/>
    <x v="4"/>
    <n v="8027.63"/>
    <x v="4"/>
    <x v="6"/>
  </r>
  <r>
    <x v="260"/>
    <d v="2025-07-09T15:49:25"/>
    <s v="Kavya Gupta"/>
    <s v="Lucknow"/>
    <x v="8"/>
    <x v="0"/>
    <x v="0"/>
    <n v="62059.07"/>
    <n v="5"/>
    <x v="0"/>
    <n v="7660.68"/>
    <x v="4"/>
    <x v="6"/>
  </r>
  <r>
    <x v="261"/>
    <d v="2025-07-10T09:19:50"/>
    <s v="Arjun Sharma"/>
    <s v="Jaipur"/>
    <x v="2"/>
    <x v="1"/>
    <x v="1"/>
    <n v="51523.28"/>
    <n v="5"/>
    <x v="4"/>
    <n v="5990.3"/>
    <x v="1"/>
    <x v="6"/>
  </r>
  <r>
    <x v="262"/>
    <d v="2025-07-11T02:50:16"/>
    <s v="Priya Patel"/>
    <s v="Mumbai"/>
    <x v="6"/>
    <x v="1"/>
    <x v="1"/>
    <n v="55295.74"/>
    <n v="5"/>
    <x v="1"/>
    <n v="10624.08"/>
    <x v="3"/>
    <x v="6"/>
  </r>
  <r>
    <x v="263"/>
    <d v="2025-07-11T20:20:41"/>
    <s v="Priya Yadav"/>
    <s v="Mumbai"/>
    <x v="6"/>
    <x v="7"/>
    <x v="0"/>
    <n v="74973.279999999999"/>
    <n v="4"/>
    <x v="1"/>
    <n v="8232.06"/>
    <x v="4"/>
    <x v="6"/>
  </r>
  <r>
    <x v="264"/>
    <d v="2025-07-12T13:51:06"/>
    <s v="Vihaan Singh"/>
    <s v="Pune"/>
    <x v="6"/>
    <x v="4"/>
    <x v="0"/>
    <n v="10619.05"/>
    <n v="5"/>
    <x v="2"/>
    <n v="1771.3"/>
    <x v="2"/>
    <x v="6"/>
  </r>
  <r>
    <x v="265"/>
    <d v="2025-07-13T07:21:31"/>
    <s v="Aarav Sharma"/>
    <s v="Chennai"/>
    <x v="1"/>
    <x v="7"/>
    <x v="0"/>
    <n v="64150.6"/>
    <n v="3"/>
    <x v="1"/>
    <n v="8973.94"/>
    <x v="1"/>
    <x v="6"/>
  </r>
  <r>
    <x v="266"/>
    <d v="2025-07-14T00:51:57"/>
    <s v="Ananya Singh"/>
    <s v="Pune"/>
    <x v="6"/>
    <x v="3"/>
    <x v="2"/>
    <n v="6254.17"/>
    <n v="4"/>
    <x v="1"/>
    <n v="1235.54"/>
    <x v="4"/>
    <x v="6"/>
  </r>
  <r>
    <x v="267"/>
    <d v="2025-07-14T18:22:22"/>
    <s v="Rahul Sharma"/>
    <s v="Lucknow"/>
    <x v="8"/>
    <x v="2"/>
    <x v="0"/>
    <n v="77207.31"/>
    <n v="3"/>
    <x v="4"/>
    <n v="19019.2"/>
    <x v="0"/>
    <x v="6"/>
  </r>
  <r>
    <x v="268"/>
    <d v="2025-07-15T11:52:47"/>
    <s v="Rohan Singh"/>
    <s v="Mumbai"/>
    <x v="6"/>
    <x v="11"/>
    <x v="2"/>
    <n v="4759.5600000000004"/>
    <n v="3"/>
    <x v="2"/>
    <n v="1211.53"/>
    <x v="2"/>
    <x v="6"/>
  </r>
  <r>
    <x v="269"/>
    <d v="2025-07-16T05:23:12"/>
    <s v="Neha Patel"/>
    <s v="Delhi"/>
    <x v="9"/>
    <x v="5"/>
    <x v="3"/>
    <n v="1194.53"/>
    <n v="5"/>
    <x v="1"/>
    <n v="107.47"/>
    <x v="0"/>
    <x v="6"/>
  </r>
  <r>
    <x v="270"/>
    <d v="2025-07-16T22:53:38"/>
    <s v="Isha Joshi"/>
    <s v="Indore"/>
    <x v="4"/>
    <x v="1"/>
    <x v="1"/>
    <n v="10225.31"/>
    <n v="1"/>
    <x v="4"/>
    <n v="1278.6199999999999"/>
    <x v="1"/>
    <x v="6"/>
  </r>
  <r>
    <x v="271"/>
    <d v="2025-07-17T16:24:03"/>
    <s v="Rahul Jain"/>
    <s v="Bengaluru"/>
    <x v="5"/>
    <x v="10"/>
    <x v="3"/>
    <n v="48679.19"/>
    <n v="4"/>
    <x v="2"/>
    <n v="4328.5"/>
    <x v="0"/>
    <x v="6"/>
  </r>
  <r>
    <x v="272"/>
    <d v="2025-07-18T09:54:28"/>
    <s v="Rahul Joshi"/>
    <s v="Ahmedabad"/>
    <x v="0"/>
    <x v="7"/>
    <x v="0"/>
    <n v="34841.279999999999"/>
    <n v="2"/>
    <x v="0"/>
    <n v="5921.2"/>
    <x v="4"/>
    <x v="6"/>
  </r>
  <r>
    <x v="273"/>
    <d v="2025-07-19T03:24:53"/>
    <s v="Arjun Patel"/>
    <s v="Pune"/>
    <x v="6"/>
    <x v="1"/>
    <x v="1"/>
    <n v="25021.32"/>
    <n v="3"/>
    <x v="3"/>
    <n v="2698.53"/>
    <x v="2"/>
    <x v="6"/>
  </r>
  <r>
    <x v="274"/>
    <d v="2025-07-19T20:55:19"/>
    <s v="Neha Gupta"/>
    <s v="Chennai"/>
    <x v="1"/>
    <x v="8"/>
    <x v="1"/>
    <n v="17329.7"/>
    <n v="2"/>
    <x v="1"/>
    <n v="1829.98"/>
    <x v="3"/>
    <x v="6"/>
  </r>
  <r>
    <x v="275"/>
    <d v="2025-07-20T14:25:44"/>
    <s v="Neha Yadav"/>
    <s v="Lucknow"/>
    <x v="8"/>
    <x v="7"/>
    <x v="0"/>
    <n v="17570.86"/>
    <n v="1"/>
    <x v="3"/>
    <n v="1915.1"/>
    <x v="4"/>
    <x v="6"/>
  </r>
  <r>
    <x v="276"/>
    <d v="2025-07-21T07:56:09"/>
    <s v="Ananya Sharma"/>
    <s v="Bengaluru"/>
    <x v="5"/>
    <x v="9"/>
    <x v="0"/>
    <n v="124424.47"/>
    <n v="3"/>
    <x v="3"/>
    <n v="34026.51"/>
    <x v="3"/>
    <x v="6"/>
  </r>
  <r>
    <x v="277"/>
    <d v="2025-07-22T01:26:34"/>
    <s v="Priya Patel"/>
    <s v="Delhi"/>
    <x v="9"/>
    <x v="0"/>
    <x v="0"/>
    <n v="22091.63"/>
    <n v="2"/>
    <x v="1"/>
    <n v="4175.78"/>
    <x v="1"/>
    <x v="6"/>
  </r>
  <r>
    <x v="278"/>
    <d v="2025-07-22T18:57:00"/>
    <s v="Rahul Patel"/>
    <s v="Lucknow"/>
    <x v="8"/>
    <x v="3"/>
    <x v="2"/>
    <n v="1761.77"/>
    <n v="1"/>
    <x v="1"/>
    <n v="356.9"/>
    <x v="2"/>
    <x v="6"/>
  </r>
  <r>
    <x v="279"/>
    <d v="2025-07-23T12:27:25"/>
    <s v="Vihaan Verma"/>
    <s v="Lucknow"/>
    <x v="8"/>
    <x v="11"/>
    <x v="2"/>
    <n v="8672.8700000000008"/>
    <n v="5"/>
    <x v="0"/>
    <n v="1854.3"/>
    <x v="4"/>
    <x v="6"/>
  </r>
  <r>
    <x v="280"/>
    <d v="2025-07-24T05:57:50"/>
    <s v="Kavya Verma"/>
    <s v="Ahmedabad"/>
    <x v="0"/>
    <x v="6"/>
    <x v="2"/>
    <n v="2814.52"/>
    <n v="4"/>
    <x v="1"/>
    <n v="679.09"/>
    <x v="0"/>
    <x v="6"/>
  </r>
  <r>
    <x v="281"/>
    <d v="2025-07-24T23:28:15"/>
    <s v="Rahul Mehta"/>
    <s v="Indore"/>
    <x v="4"/>
    <x v="8"/>
    <x v="1"/>
    <n v="38449.86"/>
    <n v="5"/>
    <x v="2"/>
    <n v="8895.39"/>
    <x v="4"/>
    <x v="6"/>
  </r>
  <r>
    <x v="282"/>
    <d v="2025-07-25T16:58:41"/>
    <s v="Isha Yadav"/>
    <s v="Jaipur"/>
    <x v="2"/>
    <x v="0"/>
    <x v="0"/>
    <n v="41513.83"/>
    <n v="4"/>
    <x v="3"/>
    <n v="7972.17"/>
    <x v="2"/>
    <x v="6"/>
  </r>
  <r>
    <x v="283"/>
    <d v="2025-07-26T10:29:06"/>
    <s v="Rahul Jain"/>
    <s v="Bhopal"/>
    <x v="4"/>
    <x v="10"/>
    <x v="3"/>
    <n v="45472.02"/>
    <n v="3"/>
    <x v="1"/>
    <n v="8165.07"/>
    <x v="1"/>
    <x v="6"/>
  </r>
  <r>
    <x v="284"/>
    <d v="2025-07-27T03:59:31"/>
    <s v="Priya Yadav"/>
    <s v="Ahmedabad"/>
    <x v="0"/>
    <x v="10"/>
    <x v="3"/>
    <n v="36877.82"/>
    <n v="3"/>
    <x v="0"/>
    <n v="10063.780000000001"/>
    <x v="1"/>
    <x v="6"/>
  </r>
  <r>
    <x v="285"/>
    <d v="2025-07-27T21:29:56"/>
    <s v="Priya Patel"/>
    <s v="Kolkata"/>
    <x v="7"/>
    <x v="10"/>
    <x v="3"/>
    <n v="53177.15"/>
    <n v="4"/>
    <x v="2"/>
    <n v="11089.29"/>
    <x v="3"/>
    <x v="6"/>
  </r>
  <r>
    <x v="286"/>
    <d v="2025-07-28T15:00:22"/>
    <s v="Sneha Patel"/>
    <s v="Kolkata"/>
    <x v="7"/>
    <x v="0"/>
    <x v="0"/>
    <n v="45350.44"/>
    <n v="4"/>
    <x v="1"/>
    <n v="6921.39"/>
    <x v="0"/>
    <x v="6"/>
  </r>
  <r>
    <x v="287"/>
    <d v="2025-07-29T08:30:47"/>
    <s v="Isha Gupta"/>
    <s v="Bengaluru"/>
    <x v="5"/>
    <x v="6"/>
    <x v="2"/>
    <n v="926.49"/>
    <n v="1"/>
    <x v="4"/>
    <n v="141.51"/>
    <x v="1"/>
    <x v="6"/>
  </r>
  <r>
    <x v="288"/>
    <d v="2025-07-30T02:01:12"/>
    <s v="Aarav Jain"/>
    <s v="Jaipur"/>
    <x v="2"/>
    <x v="6"/>
    <x v="2"/>
    <n v="2558.3000000000002"/>
    <n v="3"/>
    <x v="0"/>
    <n v="463.16"/>
    <x v="4"/>
    <x v="6"/>
  </r>
  <r>
    <x v="289"/>
    <d v="2025-07-30T19:31:37"/>
    <s v="Sneha Gupta"/>
    <s v="Delhi"/>
    <x v="9"/>
    <x v="2"/>
    <x v="0"/>
    <n v="110315.85"/>
    <n v="4"/>
    <x v="3"/>
    <n v="23301.66"/>
    <x v="2"/>
    <x v="6"/>
  </r>
  <r>
    <x v="290"/>
    <d v="2025-07-31T13:02:03"/>
    <s v="Rohan Verma"/>
    <s v="Mumbai"/>
    <x v="6"/>
    <x v="9"/>
    <x v="0"/>
    <n v="199305.74"/>
    <n v="4"/>
    <x v="0"/>
    <n v="19109.7"/>
    <x v="4"/>
    <x v="6"/>
  </r>
  <r>
    <x v="291"/>
    <d v="2025-08-01T06:32:28"/>
    <s v="Ananya Patel"/>
    <s v="Kolkata"/>
    <x v="7"/>
    <x v="10"/>
    <x v="3"/>
    <n v="67527.740000000005"/>
    <n v="4"/>
    <x v="4"/>
    <n v="15660.8"/>
    <x v="1"/>
    <x v="7"/>
  </r>
  <r>
    <x v="292"/>
    <d v="2025-08-02T00:02:53"/>
    <s v="Kavya Gupta"/>
    <s v="Kolkata"/>
    <x v="7"/>
    <x v="10"/>
    <x v="3"/>
    <n v="59051.4"/>
    <n v="5"/>
    <x v="0"/>
    <n v="15115.06"/>
    <x v="1"/>
    <x v="7"/>
  </r>
  <r>
    <x v="293"/>
    <d v="2025-08-02T17:33:18"/>
    <s v="Vihaan Yadav"/>
    <s v="Bengaluru"/>
    <x v="5"/>
    <x v="5"/>
    <x v="3"/>
    <n v="230.49"/>
    <n v="1"/>
    <x v="4"/>
    <n v="34.479999999999997"/>
    <x v="0"/>
    <x v="7"/>
  </r>
  <r>
    <x v="294"/>
    <d v="2025-08-03T11:03:44"/>
    <s v="Aditya Sharma"/>
    <s v="Hyderabad"/>
    <x v="3"/>
    <x v="8"/>
    <x v="1"/>
    <n v="9425.81"/>
    <n v="1"/>
    <x v="2"/>
    <n v="2599.84"/>
    <x v="1"/>
    <x v="7"/>
  </r>
  <r>
    <x v="295"/>
    <d v="2025-08-04T04:34:09"/>
    <s v="Ananya Singh"/>
    <s v="Bhopal"/>
    <x v="4"/>
    <x v="2"/>
    <x v="0"/>
    <n v="95030.83"/>
    <n v="3"/>
    <x v="4"/>
    <n v="10926.29"/>
    <x v="1"/>
    <x v="7"/>
  </r>
  <r>
    <x v="296"/>
    <d v="2025-08-04T22:04:34"/>
    <s v="Rohan Verma"/>
    <s v="Indore"/>
    <x v="4"/>
    <x v="1"/>
    <x v="1"/>
    <n v="34287.15"/>
    <n v="3"/>
    <x v="1"/>
    <n v="4836.62"/>
    <x v="2"/>
    <x v="7"/>
  </r>
  <r>
    <x v="297"/>
    <d v="2025-08-05T15:34:59"/>
    <s v="Aditya Patel"/>
    <s v="Delhi"/>
    <x v="9"/>
    <x v="11"/>
    <x v="2"/>
    <n v="6924.73"/>
    <n v="4"/>
    <x v="0"/>
    <n v="1614.94"/>
    <x v="0"/>
    <x v="7"/>
  </r>
  <r>
    <x v="298"/>
    <d v="2025-08-06T09:05:25"/>
    <s v="Rahul Singh"/>
    <s v="Indore"/>
    <x v="4"/>
    <x v="6"/>
    <x v="2"/>
    <n v="2295.15"/>
    <n v="3"/>
    <x v="4"/>
    <n v="362.52"/>
    <x v="4"/>
    <x v="7"/>
  </r>
  <r>
    <x v="299"/>
    <d v="2025-08-07T02:35:50"/>
    <s v="Ananya Mehta"/>
    <s v="Bengaluru"/>
    <x v="5"/>
    <x v="4"/>
    <x v="0"/>
    <n v="8572.7999999999993"/>
    <n v="3"/>
    <x v="4"/>
    <n v="1410.31"/>
    <x v="3"/>
    <x v="7"/>
  </r>
  <r>
    <x v="300"/>
    <d v="2025-08-07T20:06:15"/>
    <s v="Ananya Singh"/>
    <s v="Jaipur"/>
    <x v="2"/>
    <x v="8"/>
    <x v="1"/>
    <n v="6751.19"/>
    <n v="1"/>
    <x v="3"/>
    <n v="1558.12"/>
    <x v="4"/>
    <x v="7"/>
  </r>
  <r>
    <x v="301"/>
    <d v="2025-08-08T13:36:40"/>
    <s v="Arjun Mehta"/>
    <s v="Ahmedabad"/>
    <x v="0"/>
    <x v="10"/>
    <x v="3"/>
    <n v="42058.09"/>
    <n v="3"/>
    <x v="1"/>
    <n v="8706.77"/>
    <x v="4"/>
    <x v="7"/>
  </r>
  <r>
    <x v="302"/>
    <d v="2025-08-09T07:07:06"/>
    <s v="Ananya Gupta"/>
    <s v="Pune"/>
    <x v="6"/>
    <x v="1"/>
    <x v="1"/>
    <n v="11070.82"/>
    <n v="1"/>
    <x v="4"/>
    <n v="1923.59"/>
    <x v="0"/>
    <x v="7"/>
  </r>
  <r>
    <x v="303"/>
    <d v="2025-08-10T00:37:31"/>
    <s v="Ananya Khan"/>
    <s v="Hyderabad"/>
    <x v="3"/>
    <x v="3"/>
    <x v="2"/>
    <n v="1244.8"/>
    <n v="1"/>
    <x v="3"/>
    <n v="311.76"/>
    <x v="2"/>
    <x v="7"/>
  </r>
  <r>
    <x v="304"/>
    <d v="2025-08-10T18:07:56"/>
    <s v="Sneha Patel"/>
    <s v="Bengaluru"/>
    <x v="5"/>
    <x v="8"/>
    <x v="1"/>
    <n v="47086.8"/>
    <n v="5"/>
    <x v="2"/>
    <n v="7808.71"/>
    <x v="4"/>
    <x v="7"/>
  </r>
  <r>
    <x v="305"/>
    <d v="2025-08-11T11:38:21"/>
    <s v="Ananya Joshi"/>
    <s v="Delhi"/>
    <x v="9"/>
    <x v="11"/>
    <x v="2"/>
    <n v="6265.91"/>
    <n v="4"/>
    <x v="2"/>
    <n v="1425.58"/>
    <x v="1"/>
    <x v="7"/>
  </r>
  <r>
    <x v="306"/>
    <d v="2025-08-12T05:08:47"/>
    <s v="Priya Khan"/>
    <s v="Mumbai"/>
    <x v="6"/>
    <x v="9"/>
    <x v="0"/>
    <n v="110255.67"/>
    <n v="2"/>
    <x v="1"/>
    <n v="20230.73"/>
    <x v="1"/>
    <x v="7"/>
  </r>
  <r>
    <x v="307"/>
    <d v="2025-08-12T22:39:12"/>
    <s v="Rahul Singh"/>
    <s v="Hyderabad"/>
    <x v="3"/>
    <x v="4"/>
    <x v="0"/>
    <n v="4497.24"/>
    <n v="2"/>
    <x v="4"/>
    <n v="1212.55"/>
    <x v="2"/>
    <x v="7"/>
  </r>
  <r>
    <x v="308"/>
    <d v="2025-08-13T16:09:37"/>
    <s v="Rahul Patel"/>
    <s v="Mumbai"/>
    <x v="6"/>
    <x v="0"/>
    <x v="0"/>
    <n v="46883.43"/>
    <n v="4"/>
    <x v="2"/>
    <n v="8323.3799999999992"/>
    <x v="3"/>
    <x v="7"/>
  </r>
  <r>
    <x v="309"/>
    <d v="2025-08-14T09:40:02"/>
    <s v="Ananya Patel"/>
    <s v="Chennai"/>
    <x v="1"/>
    <x v="8"/>
    <x v="1"/>
    <n v="8115.23"/>
    <n v="1"/>
    <x v="1"/>
    <n v="764.34"/>
    <x v="2"/>
    <x v="7"/>
  </r>
  <r>
    <x v="310"/>
    <d v="2025-08-15T03:10:28"/>
    <s v="Ananya Sharma"/>
    <s v="Kolkata"/>
    <x v="7"/>
    <x v="6"/>
    <x v="2"/>
    <n v="2019.99"/>
    <n v="2"/>
    <x v="4"/>
    <n v="351.33"/>
    <x v="0"/>
    <x v="7"/>
  </r>
  <r>
    <x v="311"/>
    <d v="2025-08-15T20:40:53"/>
    <s v="Aarav Sharma"/>
    <s v="Bengaluru"/>
    <x v="5"/>
    <x v="4"/>
    <x v="0"/>
    <n v="11163.22"/>
    <n v="5"/>
    <x v="1"/>
    <n v="2092"/>
    <x v="0"/>
    <x v="7"/>
  </r>
  <r>
    <x v="312"/>
    <d v="2025-08-16T14:11:18"/>
    <s v="Kavya Khan"/>
    <s v="Pune"/>
    <x v="6"/>
    <x v="7"/>
    <x v="0"/>
    <n v="17796.009999999998"/>
    <n v="1"/>
    <x v="0"/>
    <n v="3459.72"/>
    <x v="2"/>
    <x v="7"/>
  </r>
  <r>
    <x v="313"/>
    <d v="2025-08-17T07:41:43"/>
    <s v="Sneha Jain"/>
    <s v="Hyderabad"/>
    <x v="3"/>
    <x v="1"/>
    <x v="1"/>
    <n v="47703.8"/>
    <n v="5"/>
    <x v="0"/>
    <n v="8888.17"/>
    <x v="2"/>
    <x v="7"/>
  </r>
  <r>
    <x v="314"/>
    <d v="2025-08-18T01:12:09"/>
    <s v="Priya Verma"/>
    <s v="Ahmedabad"/>
    <x v="0"/>
    <x v="3"/>
    <x v="2"/>
    <n v="4255.9799999999996"/>
    <n v="3"/>
    <x v="3"/>
    <n v="481.1"/>
    <x v="1"/>
    <x v="7"/>
  </r>
  <r>
    <x v="315"/>
    <d v="2025-08-18T18:42:34"/>
    <s v="Kavya Jain"/>
    <s v="Bengaluru"/>
    <x v="5"/>
    <x v="1"/>
    <x v="1"/>
    <n v="57467.33"/>
    <n v="5"/>
    <x v="1"/>
    <n v="8153.15"/>
    <x v="1"/>
    <x v="7"/>
  </r>
  <r>
    <x v="316"/>
    <d v="2025-08-19T12:12:59"/>
    <s v="Neha Sharma"/>
    <s v="Lucknow"/>
    <x v="8"/>
    <x v="11"/>
    <x v="2"/>
    <n v="1873.66"/>
    <n v="1"/>
    <x v="4"/>
    <n v="246.43"/>
    <x v="1"/>
    <x v="7"/>
  </r>
  <r>
    <x v="317"/>
    <d v="2025-08-20T05:43:24"/>
    <s v="Rohan Verma"/>
    <s v="Bhopal"/>
    <x v="4"/>
    <x v="2"/>
    <x v="0"/>
    <n v="53528.97"/>
    <n v="2"/>
    <x v="0"/>
    <n v="11376.67"/>
    <x v="1"/>
    <x v="7"/>
  </r>
  <r>
    <x v="318"/>
    <d v="2025-08-20T23:13:50"/>
    <s v="Neha Patel"/>
    <s v="Bengaluru"/>
    <x v="5"/>
    <x v="0"/>
    <x v="0"/>
    <n v="12198.23"/>
    <n v="1"/>
    <x v="4"/>
    <n v="1841.37"/>
    <x v="4"/>
    <x v="7"/>
  </r>
  <r>
    <x v="319"/>
    <d v="2025-08-21T16:44:15"/>
    <s v="Aditya Khan"/>
    <s v="Hyderabad"/>
    <x v="3"/>
    <x v="5"/>
    <x v="3"/>
    <n v="502.39"/>
    <n v="2"/>
    <x v="1"/>
    <n v="90.65"/>
    <x v="2"/>
    <x v="7"/>
  </r>
  <r>
    <x v="320"/>
    <d v="2025-08-22T10:14:40"/>
    <s v="Rahul Verma"/>
    <s v="Hyderabad"/>
    <x v="3"/>
    <x v="8"/>
    <x v="1"/>
    <m/>
    <n v="4"/>
    <x v="1"/>
    <n v="6665.69"/>
    <x v="3"/>
    <x v="7"/>
  </r>
  <r>
    <x v="321"/>
    <d v="2025-08-23T03:45:05"/>
    <s v="Kavya Gupta"/>
    <s v="Indore"/>
    <x v="4"/>
    <x v="10"/>
    <x v="3"/>
    <n v="53495.19"/>
    <n v="4"/>
    <x v="2"/>
    <n v="10455.1"/>
    <x v="4"/>
    <x v="7"/>
  </r>
  <r>
    <x v="322"/>
    <d v="2025-08-23T21:15:31"/>
    <s v="Arjun Verma"/>
    <s v="Indore"/>
    <x v="4"/>
    <x v="10"/>
    <x v="3"/>
    <n v="12400.57"/>
    <n v="1"/>
    <x v="2"/>
    <n v="3104.71"/>
    <x v="4"/>
    <x v="7"/>
  </r>
  <r>
    <x v="323"/>
    <d v="2025-08-24T14:45:56"/>
    <s v="Aditya Verma"/>
    <s v="Ahmedabad"/>
    <x v="0"/>
    <x v="10"/>
    <x v="3"/>
    <n v="74825.289999999994"/>
    <n v="5"/>
    <x v="1"/>
    <n v="9372.2999999999993"/>
    <x v="1"/>
    <x v="7"/>
  </r>
  <r>
    <x v="324"/>
    <d v="2025-08-25T08:16:21"/>
    <s v="Arjun Sharma"/>
    <s v="Kolkata"/>
    <x v="7"/>
    <x v="10"/>
    <x v="3"/>
    <n v="43804.2"/>
    <n v="3"/>
    <x v="2"/>
    <n v="8770.25"/>
    <x v="3"/>
    <x v="7"/>
  </r>
  <r>
    <x v="325"/>
    <d v="2025-08-26T01:46:46"/>
    <s v="Arjun Verma"/>
    <s v="Bengaluru"/>
    <x v="5"/>
    <x v="7"/>
    <x v="0"/>
    <n v="114809.44"/>
    <n v="5"/>
    <x v="4"/>
    <n v="26679.57"/>
    <x v="4"/>
    <x v="7"/>
  </r>
  <r>
    <x v="326"/>
    <d v="2025-08-26T19:17:12"/>
    <s v="Sneha Sharma"/>
    <s v="Lucknow"/>
    <x v="8"/>
    <x v="7"/>
    <x v="0"/>
    <n v="43516.75"/>
    <n v="2"/>
    <x v="2"/>
    <n v="4105.47"/>
    <x v="2"/>
    <x v="7"/>
  </r>
  <r>
    <x v="327"/>
    <d v="2025-08-27T12:47:37"/>
    <s v="Arjun Sharma"/>
    <s v="Jaipur"/>
    <x v="2"/>
    <x v="11"/>
    <x v="2"/>
    <n v="3572.15"/>
    <n v="2"/>
    <x v="1"/>
    <n v="685.63"/>
    <x v="4"/>
    <x v="7"/>
  </r>
  <r>
    <x v="328"/>
    <d v="2025-08-28T06:18:02"/>
    <s v="Rahul Yadav"/>
    <s v="Bhopal"/>
    <x v="4"/>
    <x v="11"/>
    <x v="2"/>
    <n v="5451.7"/>
    <n v="3"/>
    <x v="4"/>
    <n v="544.41"/>
    <x v="0"/>
    <x v="7"/>
  </r>
  <r>
    <x v="329"/>
    <d v="2025-08-28T23:48:27"/>
    <s v="Kavya Gupta"/>
    <s v="Bhopal"/>
    <x v="4"/>
    <x v="6"/>
    <x v="2"/>
    <n v="2293.41"/>
    <n v="3"/>
    <x v="2"/>
    <n v="243.12"/>
    <x v="3"/>
    <x v="7"/>
  </r>
  <r>
    <x v="330"/>
    <d v="2025-08-29T17:18:53"/>
    <s v="Aarav Singh"/>
    <s v="Kolkata"/>
    <x v="7"/>
    <x v="11"/>
    <x v="2"/>
    <n v="5426.29"/>
    <n v="3"/>
    <x v="1"/>
    <n v="1331.29"/>
    <x v="2"/>
    <x v="7"/>
  </r>
  <r>
    <x v="331"/>
    <d v="2025-08-30T10:49:18"/>
    <s v="Rahul Gupta"/>
    <s v="Jaipur"/>
    <x v="2"/>
    <x v="0"/>
    <x v="0"/>
    <n v="56463.34"/>
    <n v="5"/>
    <x v="1"/>
    <n v="10634.36"/>
    <x v="0"/>
    <x v="7"/>
  </r>
  <r>
    <x v="332"/>
    <d v="2025-08-31T04:19:43"/>
    <s v="Aarav Gupta"/>
    <s v="Ahmedabad"/>
    <x v="0"/>
    <x v="4"/>
    <x v="0"/>
    <n v="6702.49"/>
    <n v="3"/>
    <x v="2"/>
    <n v="797.09"/>
    <x v="1"/>
    <x v="7"/>
  </r>
  <r>
    <x v="333"/>
    <d v="2025-08-31T21:50:08"/>
    <s v="Priya Verma"/>
    <s v="Delhi"/>
    <x v="9"/>
    <x v="7"/>
    <x v="0"/>
    <n v="63785.5"/>
    <n v="3"/>
    <x v="2"/>
    <n v="12507.92"/>
    <x v="4"/>
    <x v="7"/>
  </r>
  <r>
    <x v="334"/>
    <d v="2025-09-01T15:20:34"/>
    <s v="Priya Khan"/>
    <s v="Bhopal"/>
    <x v="4"/>
    <x v="3"/>
    <x v="2"/>
    <n v="5590.27"/>
    <n v="4"/>
    <x v="3"/>
    <n v="1431.46"/>
    <x v="2"/>
    <x v="8"/>
  </r>
  <r>
    <x v="335"/>
    <d v="2025-09-02T08:50:59"/>
    <s v="Aarav Gupta"/>
    <s v="Bengaluru"/>
    <x v="5"/>
    <x v="5"/>
    <x v="3"/>
    <n v="648.66"/>
    <n v="3"/>
    <x v="2"/>
    <n v="57.01"/>
    <x v="1"/>
    <x v="8"/>
  </r>
  <r>
    <x v="336"/>
    <d v="2025-09-03T02:21:24"/>
    <s v="Isha Khan"/>
    <s v="Jaipur"/>
    <x v="2"/>
    <x v="4"/>
    <x v="0"/>
    <n v="7579.14"/>
    <n v="3"/>
    <x v="1"/>
    <n v="1414.85"/>
    <x v="4"/>
    <x v="8"/>
  </r>
  <r>
    <x v="337"/>
    <d v="2025-09-03T19:51:49"/>
    <s v="Kavya Khan"/>
    <s v="Jaipur"/>
    <x v="2"/>
    <x v="3"/>
    <x v="2"/>
    <n v="5620.25"/>
    <n v="4"/>
    <x v="1"/>
    <n v="974.31"/>
    <x v="2"/>
    <x v="8"/>
  </r>
  <r>
    <x v="338"/>
    <d v="2025-09-04T13:22:15"/>
    <s v="Neha Yadav"/>
    <s v="Mumbai"/>
    <x v="6"/>
    <x v="4"/>
    <x v="0"/>
    <n v="5435.41"/>
    <n v="2"/>
    <x v="2"/>
    <n v="1373.58"/>
    <x v="1"/>
    <x v="8"/>
  </r>
  <r>
    <x v="339"/>
    <d v="2025-09-05T06:52:40"/>
    <s v="Ananya Verma"/>
    <s v="Jaipur"/>
    <x v="2"/>
    <x v="3"/>
    <x v="2"/>
    <n v="1742.17"/>
    <n v="1"/>
    <x v="2"/>
    <n v="350.44"/>
    <x v="3"/>
    <x v="8"/>
  </r>
  <r>
    <x v="340"/>
    <d v="2025-09-06T00:23:05"/>
    <s v="Arjun Jain"/>
    <s v="Indore"/>
    <x v="4"/>
    <x v="4"/>
    <x v="0"/>
    <n v="13587.63"/>
    <n v="5"/>
    <x v="2"/>
    <n v="3335.81"/>
    <x v="4"/>
    <x v="8"/>
  </r>
  <r>
    <x v="341"/>
    <d v="2025-09-06T17:53:30"/>
    <s v="Priya Verma"/>
    <s v="Mumbai"/>
    <x v="6"/>
    <x v="10"/>
    <x v="3"/>
    <n v="45951.32"/>
    <n v="4"/>
    <x v="1"/>
    <n v="6418.8"/>
    <x v="0"/>
    <x v="8"/>
  </r>
  <r>
    <x v="342"/>
    <d v="2025-09-07T11:23:56"/>
    <s v="Vihaan Khan"/>
    <s v="Chennai"/>
    <x v="1"/>
    <x v="11"/>
    <x v="2"/>
    <n v="10273.14"/>
    <n v="5"/>
    <x v="4"/>
    <n v="2330.0100000000002"/>
    <x v="4"/>
    <x v="8"/>
  </r>
  <r>
    <x v="343"/>
    <d v="2025-09-08T04:54:21"/>
    <s v="Isha Patel"/>
    <s v="Jaipur"/>
    <x v="2"/>
    <x v="3"/>
    <x v="2"/>
    <n v="5711.9"/>
    <n v="3"/>
    <x v="4"/>
    <n v="798.98"/>
    <x v="2"/>
    <x v="8"/>
  </r>
  <r>
    <x v="344"/>
    <d v="2025-09-08T22:24:46"/>
    <s v="Kavya Sharma"/>
    <s v="Bengaluru"/>
    <x v="5"/>
    <x v="4"/>
    <x v="0"/>
    <n v="2176.04"/>
    <n v="1"/>
    <x v="3"/>
    <n v="261.41000000000003"/>
    <x v="0"/>
    <x v="8"/>
  </r>
  <r>
    <x v="345"/>
    <d v="2025-09-09T15:55:11"/>
    <s v="Priya Gupta"/>
    <s v="Indore"/>
    <x v="4"/>
    <x v="0"/>
    <x v="0"/>
    <n v="14558.21"/>
    <n v="1"/>
    <x v="4"/>
    <n v="1181.1500000000001"/>
    <x v="1"/>
    <x v="8"/>
  </r>
  <r>
    <x v="346"/>
    <d v="2025-09-10T09:25:37"/>
    <s v="Vihaan Singh"/>
    <s v="Hyderabad"/>
    <x v="3"/>
    <x v="9"/>
    <x v="0"/>
    <n v="233202.26"/>
    <n v="4"/>
    <x v="4"/>
    <n v="37270.39"/>
    <x v="0"/>
    <x v="8"/>
  </r>
  <r>
    <x v="347"/>
    <d v="2025-09-11T02:56:02"/>
    <s v="Aditya Khan"/>
    <s v="Mumbai"/>
    <x v="6"/>
    <x v="1"/>
    <x v="1"/>
    <n v="33683.910000000003"/>
    <n v="3"/>
    <x v="1"/>
    <n v="7395.34"/>
    <x v="3"/>
    <x v="8"/>
  </r>
  <r>
    <x v="348"/>
    <d v="2025-09-11T20:26:27"/>
    <s v="Vihaan Yadav"/>
    <s v="Bengaluru"/>
    <x v="5"/>
    <x v="9"/>
    <x v="0"/>
    <n v="107747.11"/>
    <n v="2"/>
    <x v="1"/>
    <n v="9702.11"/>
    <x v="4"/>
    <x v="8"/>
  </r>
  <r>
    <x v="349"/>
    <d v="2025-09-12T13:56:52"/>
    <s v="Neha Khan"/>
    <s v="Bengaluru"/>
    <x v="5"/>
    <x v="7"/>
    <x v="0"/>
    <n v="34942.870000000003"/>
    <n v="2"/>
    <x v="0"/>
    <n v="9289.41"/>
    <x v="4"/>
    <x v="8"/>
  </r>
  <r>
    <x v="350"/>
    <d v="2025-09-13T07:27:18"/>
    <s v="Aditya Gupta"/>
    <s v="Ahmedabad"/>
    <x v="0"/>
    <x v="11"/>
    <x v="2"/>
    <n v="1826.45"/>
    <n v="1"/>
    <x v="4"/>
    <n v="158.41999999999999"/>
    <x v="0"/>
    <x v="8"/>
  </r>
  <r>
    <x v="351"/>
    <d v="2025-09-14T00:57:43"/>
    <s v="Arjun Mehta"/>
    <s v="Hyderabad"/>
    <x v="3"/>
    <x v="10"/>
    <x v="3"/>
    <n v="13590.7"/>
    <n v="1"/>
    <x v="0"/>
    <n v="2321.15"/>
    <x v="1"/>
    <x v="8"/>
  </r>
  <r>
    <x v="352"/>
    <d v="2025-09-14T18:28:08"/>
    <s v="Rahul Singh"/>
    <s v="Pune"/>
    <x v="6"/>
    <x v="2"/>
    <x v="0"/>
    <n v="54273.48"/>
    <n v="2"/>
    <x v="0"/>
    <n v="13068.6"/>
    <x v="4"/>
    <x v="8"/>
  </r>
  <r>
    <x v="353"/>
    <d v="2025-09-15T11:58:33"/>
    <s v="Priya Patel"/>
    <s v="Chennai"/>
    <x v="1"/>
    <x v="8"/>
    <x v="1"/>
    <n v="17467.810000000001"/>
    <n v="2"/>
    <x v="4"/>
    <n v="4478.72"/>
    <x v="0"/>
    <x v="8"/>
  </r>
  <r>
    <x v="354"/>
    <d v="2025-09-16T05:28:59"/>
    <s v="Kavya Patel"/>
    <s v="Hyderabad"/>
    <x v="3"/>
    <x v="7"/>
    <x v="0"/>
    <n v="20796.07"/>
    <n v="1"/>
    <x v="4"/>
    <n v="3789.58"/>
    <x v="2"/>
    <x v="8"/>
  </r>
  <r>
    <x v="355"/>
    <d v="2025-09-16T22:59:24"/>
    <s v="Isha Joshi"/>
    <s v="Ahmedabad"/>
    <x v="0"/>
    <x v="1"/>
    <x v="1"/>
    <n v="22574.06"/>
    <n v="2"/>
    <x v="2"/>
    <n v="6051.87"/>
    <x v="2"/>
    <x v="8"/>
  </r>
  <r>
    <x v="356"/>
    <d v="2025-09-17T16:29:49"/>
    <s v="Aditya Verma"/>
    <s v="Chennai"/>
    <x v="1"/>
    <x v="4"/>
    <x v="0"/>
    <n v="2619.1799999999998"/>
    <n v="1"/>
    <x v="2"/>
    <n v="622.80999999999995"/>
    <x v="2"/>
    <x v="8"/>
  </r>
  <r>
    <x v="357"/>
    <d v="2025-09-18T10:00:14"/>
    <s v="Aarav Joshi"/>
    <s v="Jaipur"/>
    <x v="2"/>
    <x v="1"/>
    <x v="1"/>
    <n v="50522.02"/>
    <n v="4"/>
    <x v="4"/>
    <n v="4469.09"/>
    <x v="3"/>
    <x v="8"/>
  </r>
  <r>
    <x v="358"/>
    <d v="2025-09-19T03:30:40"/>
    <s v="Sneha Sharma"/>
    <s v="Ahmedabad"/>
    <x v="0"/>
    <x v="11"/>
    <x v="2"/>
    <n v="10013.879999999999"/>
    <n v="5"/>
    <x v="4"/>
    <n v="1358.76"/>
    <x v="1"/>
    <x v="8"/>
  </r>
  <r>
    <x v="359"/>
    <d v="2025-09-19T21:01:05"/>
    <s v="Aarav Gupta"/>
    <s v="Hyderabad"/>
    <x v="3"/>
    <x v="10"/>
    <x v="3"/>
    <n v="67001.98"/>
    <n v="5"/>
    <x v="1"/>
    <n v="18753.400000000001"/>
    <x v="1"/>
    <x v="8"/>
  </r>
  <r>
    <x v="360"/>
    <d v="2025-09-20T14:31:30"/>
    <s v="Neha Joshi"/>
    <s v="Hyderabad"/>
    <x v="3"/>
    <x v="4"/>
    <x v="0"/>
    <n v="4421.3900000000003"/>
    <n v="2"/>
    <x v="0"/>
    <n v="356.26"/>
    <x v="4"/>
    <x v="8"/>
  </r>
  <r>
    <x v="361"/>
    <d v="2025-09-21T08:01:55"/>
    <s v="Rahul Khan"/>
    <s v="Bhopal"/>
    <x v="4"/>
    <x v="11"/>
    <x v="2"/>
    <n v="7895.38"/>
    <n v="5"/>
    <x v="1"/>
    <n v="1217.72"/>
    <x v="2"/>
    <x v="8"/>
  </r>
  <r>
    <x v="362"/>
    <d v="2025-09-22T01:32:21"/>
    <s v="Arjun Patel"/>
    <s v="Pune"/>
    <x v="6"/>
    <x v="8"/>
    <x v="1"/>
    <n v="36798.410000000003"/>
    <n v="5"/>
    <x v="2"/>
    <n v="9794.32"/>
    <x v="0"/>
    <x v="8"/>
  </r>
  <r>
    <x v="363"/>
    <d v="2025-09-22T19:02:46"/>
    <s v="Aarav Singh"/>
    <s v="Kolkata"/>
    <x v="7"/>
    <x v="6"/>
    <x v="2"/>
    <n v="2804.73"/>
    <n v="4"/>
    <x v="1"/>
    <n v="486.99"/>
    <x v="4"/>
    <x v="8"/>
  </r>
  <r>
    <x v="364"/>
    <d v="2025-09-23T12:33:11"/>
    <s v="Rohan Gupta"/>
    <s v="Kolkata"/>
    <x v="7"/>
    <x v="3"/>
    <x v="2"/>
    <n v="4819.7700000000004"/>
    <n v="3"/>
    <x v="0"/>
    <n v="1139.4100000000001"/>
    <x v="3"/>
    <x v="8"/>
  </r>
  <r>
    <x v="365"/>
    <d v="2025-09-24T06:03:36"/>
    <s v="Ananya Verma"/>
    <s v="Delhi"/>
    <x v="9"/>
    <x v="6"/>
    <x v="2"/>
    <n v="1540.44"/>
    <n v="2"/>
    <x v="4"/>
    <n v="250.67"/>
    <x v="2"/>
    <x v="8"/>
  </r>
  <r>
    <x v="366"/>
    <d v="2025-09-24T23:34:02"/>
    <s v="Isha Yadav"/>
    <s v="Kolkata"/>
    <x v="7"/>
    <x v="6"/>
    <x v="2"/>
    <n v="2917.18"/>
    <n v="4"/>
    <x v="2"/>
    <n v="795.51"/>
    <x v="2"/>
    <x v="8"/>
  </r>
  <r>
    <x v="367"/>
    <d v="2025-09-25T17:04:27"/>
    <s v="Isha Khan"/>
    <s v="Pune"/>
    <x v="6"/>
    <x v="8"/>
    <x v="1"/>
    <n v="33486.33"/>
    <n v="4"/>
    <x v="4"/>
    <n v="3559.72"/>
    <x v="4"/>
    <x v="8"/>
  </r>
  <r>
    <x v="368"/>
    <d v="2025-09-26T10:34:52"/>
    <s v="Rohan Joshi"/>
    <s v="Lucknow"/>
    <x v="8"/>
    <x v="3"/>
    <x v="2"/>
    <n v="1515.16"/>
    <n v="1"/>
    <x v="2"/>
    <n v="126.53"/>
    <x v="2"/>
    <x v="8"/>
  </r>
  <r>
    <x v="369"/>
    <d v="2025-09-27T04:05:17"/>
    <s v="Rohan Singh"/>
    <s v="Ahmedabad"/>
    <x v="0"/>
    <x v="5"/>
    <x v="3"/>
    <n v="938.3"/>
    <n v="4"/>
    <x v="1"/>
    <n v="181.67"/>
    <x v="4"/>
    <x v="8"/>
  </r>
  <r>
    <x v="370"/>
    <d v="2025-09-27T21:35:43"/>
    <s v="Ananya Mehta"/>
    <s v="Ahmedabad"/>
    <x v="0"/>
    <x v="0"/>
    <x v="0"/>
    <n v="30597.7"/>
    <n v="3"/>
    <x v="0"/>
    <n v="7240.63"/>
    <x v="4"/>
    <x v="8"/>
  </r>
  <r>
    <x v="371"/>
    <d v="2025-09-28T15:06:08"/>
    <s v="Vihaan Jain"/>
    <s v="Jaipur"/>
    <x v="2"/>
    <x v="3"/>
    <x v="2"/>
    <n v="7256.54"/>
    <n v="4"/>
    <x v="1"/>
    <n v="1940.95"/>
    <x v="1"/>
    <x v="8"/>
  </r>
  <r>
    <x v="372"/>
    <d v="2025-09-29T08:36:33"/>
    <s v="Arjun Patel"/>
    <s v="Lucknow"/>
    <x v="8"/>
    <x v="0"/>
    <x v="0"/>
    <n v="32117.75"/>
    <n v="2"/>
    <x v="4"/>
    <n v="5978.64"/>
    <x v="0"/>
    <x v="8"/>
  </r>
  <r>
    <x v="373"/>
    <d v="2025-09-30T02:06:58"/>
    <s v="Ananya Yadav"/>
    <s v="Kolkata"/>
    <x v="7"/>
    <x v="6"/>
    <x v="2"/>
    <n v="738.31"/>
    <n v="1"/>
    <x v="1"/>
    <n v="150.58000000000001"/>
    <x v="2"/>
    <x v="8"/>
  </r>
  <r>
    <x v="374"/>
    <d v="2025-09-30T19:37:24"/>
    <s v="Arjun Sharma"/>
    <s v="Lucknow"/>
    <x v="8"/>
    <x v="3"/>
    <x v="2"/>
    <n v="6716.67"/>
    <n v="5"/>
    <x v="3"/>
    <n v="1245.6300000000001"/>
    <x v="2"/>
    <x v="8"/>
  </r>
  <r>
    <x v="375"/>
    <d v="2025-10-01T13:07:49"/>
    <s v="Kavya Sharma"/>
    <s v="Pune"/>
    <x v="6"/>
    <x v="6"/>
    <x v="2"/>
    <n v="3641.92"/>
    <n v="4"/>
    <x v="4"/>
    <n v="793.94"/>
    <x v="3"/>
    <x v="9"/>
  </r>
  <r>
    <x v="376"/>
    <d v="2025-10-02T06:38:14"/>
    <s v="Rahul Patel"/>
    <s v="Delhi"/>
    <x v="9"/>
    <x v="0"/>
    <x v="0"/>
    <n v="51468.22"/>
    <n v="4"/>
    <x v="4"/>
    <n v="8395.93"/>
    <x v="4"/>
    <x v="9"/>
  </r>
  <r>
    <x v="377"/>
    <d v="2025-10-03T00:08:39"/>
    <s v="Kavya Verma"/>
    <s v="Lucknow"/>
    <x v="8"/>
    <x v="11"/>
    <x v="2"/>
    <n v="7461.16"/>
    <n v="5"/>
    <x v="3"/>
    <n v="1732.26"/>
    <x v="4"/>
    <x v="9"/>
  </r>
  <r>
    <x v="378"/>
    <d v="2025-10-03T17:39:05"/>
    <s v="Vihaan Khan"/>
    <s v="Bengaluru"/>
    <x v="5"/>
    <x v="7"/>
    <x v="0"/>
    <n v="80876.91"/>
    <n v="5"/>
    <x v="0"/>
    <n v="22341.32"/>
    <x v="2"/>
    <x v="9"/>
  </r>
  <r>
    <x v="379"/>
    <d v="2025-10-04T11:09:30"/>
    <s v="Ananya Gupta"/>
    <s v="Pune"/>
    <x v="6"/>
    <x v="4"/>
    <x v="0"/>
    <n v="10336.01"/>
    <n v="4"/>
    <x v="1"/>
    <n v="2855.1"/>
    <x v="2"/>
    <x v="9"/>
  </r>
  <r>
    <x v="380"/>
    <d v="2025-10-05T04:39:55"/>
    <s v="Sneha Patel"/>
    <s v="Bhopal"/>
    <x v="4"/>
    <x v="4"/>
    <x v="0"/>
    <n v="5721.77"/>
    <n v="2"/>
    <x v="4"/>
    <n v="1364.75"/>
    <x v="2"/>
    <x v="9"/>
  </r>
  <r>
    <x v="381"/>
    <d v="2025-10-05T22:10:20"/>
    <s v="Kavya Mehta"/>
    <s v="Chennai"/>
    <x v="1"/>
    <x v="3"/>
    <x v="2"/>
    <n v="8178.26"/>
    <n v="5"/>
    <x v="3"/>
    <n v="1296.73"/>
    <x v="1"/>
    <x v="9"/>
  </r>
  <r>
    <x v="382"/>
    <d v="2025-10-06T15:40:46"/>
    <s v="Rahul Joshi"/>
    <s v="Indore"/>
    <x v="4"/>
    <x v="3"/>
    <x v="2"/>
    <n v="1456.07"/>
    <n v="1"/>
    <x v="1"/>
    <n v="341.19"/>
    <x v="4"/>
    <x v="9"/>
  </r>
  <r>
    <x v="383"/>
    <d v="2025-10-07T09:11:11"/>
    <s v="Rohan Mehta"/>
    <s v="Lucknow"/>
    <x v="8"/>
    <x v="0"/>
    <x v="0"/>
    <n v="60675.03"/>
    <n v="5"/>
    <x v="1"/>
    <n v="14619.69"/>
    <x v="3"/>
    <x v="9"/>
  </r>
  <r>
    <x v="384"/>
    <d v="2025-10-08T02:41:36"/>
    <s v="Sneha Joshi"/>
    <s v="Kolkata"/>
    <x v="7"/>
    <x v="1"/>
    <x v="1"/>
    <n v="20489.86"/>
    <n v="2"/>
    <x v="0"/>
    <n v="2679.34"/>
    <x v="4"/>
    <x v="9"/>
  </r>
  <r>
    <x v="385"/>
    <d v="2025-10-08T20:12:01"/>
    <s v="Neha Patel"/>
    <s v="Mumbai"/>
    <x v="6"/>
    <x v="7"/>
    <x v="0"/>
    <n v="74811.69"/>
    <n v="5"/>
    <x v="3"/>
    <n v="8286.25"/>
    <x v="0"/>
    <x v="9"/>
  </r>
  <r>
    <x v="386"/>
    <d v="2025-10-09T13:42:27"/>
    <s v="Aditya Verma"/>
    <s v="Indore"/>
    <x v="4"/>
    <x v="10"/>
    <x v="3"/>
    <n v="67126.37"/>
    <n v="5"/>
    <x v="1"/>
    <n v="6588.07"/>
    <x v="2"/>
    <x v="9"/>
  </r>
  <r>
    <x v="387"/>
    <d v="2025-10-10T07:12:52"/>
    <s v="Arjun Gupta"/>
    <s v="Ahmedabad"/>
    <x v="0"/>
    <x v="3"/>
    <x v="2"/>
    <n v="2928.84"/>
    <n v="2"/>
    <x v="0"/>
    <n v="381.34"/>
    <x v="0"/>
    <x v="9"/>
  </r>
  <r>
    <x v="388"/>
    <d v="2025-10-11T00:43:17"/>
    <s v="Arjun Jain"/>
    <s v="Bhopal"/>
    <x v="4"/>
    <x v="0"/>
    <x v="0"/>
    <n v="12909.68"/>
    <n v="1"/>
    <x v="4"/>
    <n v="3403.61"/>
    <x v="3"/>
    <x v="9"/>
  </r>
  <r>
    <x v="389"/>
    <d v="2025-10-11T18:13:42"/>
    <s v="Vihaan Mehta"/>
    <s v="Chennai"/>
    <x v="1"/>
    <x v="3"/>
    <x v="2"/>
    <n v="1551.02"/>
    <n v="1"/>
    <x v="4"/>
    <n v="178.44"/>
    <x v="4"/>
    <x v="9"/>
  </r>
  <r>
    <x v="390"/>
    <d v="2025-10-12T11:44:08"/>
    <s v="Isha Yadav"/>
    <s v="Hyderabad"/>
    <x v="3"/>
    <x v="0"/>
    <x v="0"/>
    <n v="67142.12"/>
    <n v="5"/>
    <x v="1"/>
    <n v="11112.05"/>
    <x v="0"/>
    <x v="9"/>
  </r>
  <r>
    <x v="391"/>
    <d v="2025-10-13T05:14:33"/>
    <s v="Kavya Singh"/>
    <s v="Mumbai"/>
    <x v="6"/>
    <x v="7"/>
    <x v="0"/>
    <n v="46722.68"/>
    <n v="2"/>
    <x v="2"/>
    <n v="11029.97"/>
    <x v="3"/>
    <x v="9"/>
  </r>
  <r>
    <x v="392"/>
    <d v="2025-10-13T22:44:58"/>
    <s v="Ananya Singh"/>
    <s v="Pune"/>
    <x v="6"/>
    <x v="1"/>
    <x v="1"/>
    <n v="10138.049999999999"/>
    <n v="1"/>
    <x v="1"/>
    <n v="877.57"/>
    <x v="3"/>
    <x v="9"/>
  </r>
  <r>
    <x v="393"/>
    <d v="2025-10-14T16:15:23"/>
    <s v="Arjun Patel"/>
    <s v="Mumbai"/>
    <x v="6"/>
    <x v="11"/>
    <x v="2"/>
    <n v="1488.42"/>
    <n v="1"/>
    <x v="0"/>
    <n v="367.89"/>
    <x v="4"/>
    <x v="9"/>
  </r>
  <r>
    <x v="394"/>
    <d v="2025-10-15T09:45:49"/>
    <s v="Rohan Mehta"/>
    <s v="Bengaluru"/>
    <x v="5"/>
    <x v="1"/>
    <x v="1"/>
    <n v="23704.62"/>
    <n v="2"/>
    <x v="1"/>
    <n v="4092.81"/>
    <x v="1"/>
    <x v="9"/>
  </r>
  <r>
    <x v="395"/>
    <d v="2025-10-16T03:16:14"/>
    <s v="Rahul Khan"/>
    <s v="Ahmedabad"/>
    <x v="0"/>
    <x v="11"/>
    <x v="2"/>
    <n v="9716.98"/>
    <n v="5"/>
    <x v="4"/>
    <n v="1586.91"/>
    <x v="4"/>
    <x v="9"/>
  </r>
  <r>
    <x v="396"/>
    <d v="2025-10-16T20:46:39"/>
    <s v="Arjun Khan"/>
    <s v="Hyderabad"/>
    <x v="3"/>
    <x v="5"/>
    <x v="3"/>
    <n v="1176.48"/>
    <n v="5"/>
    <x v="4"/>
    <n v="94.47"/>
    <x v="0"/>
    <x v="9"/>
  </r>
  <r>
    <x v="397"/>
    <d v="2025-10-17T14:17:04"/>
    <s v="Rohan Joshi"/>
    <s v="Pune"/>
    <x v="6"/>
    <x v="10"/>
    <x v="3"/>
    <n v="72746.14"/>
    <n v="5"/>
    <x v="1"/>
    <n v="18856.39"/>
    <x v="0"/>
    <x v="9"/>
  </r>
  <r>
    <x v="398"/>
    <d v="2025-10-18T07:47:30"/>
    <s v="Rahul Gupta"/>
    <s v="Mumbai"/>
    <x v="6"/>
    <x v="10"/>
    <x v="3"/>
    <n v="49156.65"/>
    <n v="3"/>
    <x v="2"/>
    <n v="6100.23"/>
    <x v="4"/>
    <x v="9"/>
  </r>
  <r>
    <x v="399"/>
    <d v="2025-10-19T01:17:55"/>
    <s v="Vihaan Joshi"/>
    <s v="Bengaluru"/>
    <x v="5"/>
    <x v="9"/>
    <x v="0"/>
    <n v="136651.31"/>
    <n v="3"/>
    <x v="0"/>
    <n v="11497.06"/>
    <x v="2"/>
    <x v="9"/>
  </r>
  <r>
    <x v="400"/>
    <d v="2025-10-19T18:48:20"/>
    <s v="Sneha Gupta"/>
    <s v="Chennai"/>
    <x v="1"/>
    <x v="5"/>
    <x v="3"/>
    <n v="191.7"/>
    <n v="1"/>
    <x v="3"/>
    <n v="39.57"/>
    <x v="4"/>
    <x v="9"/>
  </r>
  <r>
    <x v="401"/>
    <d v="2025-10-20T12:18:45"/>
    <s v="Priya Patel"/>
    <s v="Jaipur"/>
    <x v="2"/>
    <x v="9"/>
    <x v="0"/>
    <n v="58440.08"/>
    <n v="1"/>
    <x v="4"/>
    <n v="16040.87"/>
    <x v="0"/>
    <x v="9"/>
  </r>
  <r>
    <x v="402"/>
    <d v="2025-10-21T05:49:11"/>
    <s v="Sneha Joshi"/>
    <s v="Jaipur"/>
    <x v="2"/>
    <x v="9"/>
    <x v="0"/>
    <n v="99922.92"/>
    <n v="2"/>
    <x v="0"/>
    <n v="13471.04"/>
    <x v="4"/>
    <x v="9"/>
  </r>
  <r>
    <x v="403"/>
    <d v="2025-10-21T23:19:36"/>
    <s v="Isha Jain"/>
    <s v="Hyderabad"/>
    <x v="3"/>
    <x v="6"/>
    <x v="2"/>
    <n v="3499.29"/>
    <n v="4"/>
    <x v="0"/>
    <n v="770.66"/>
    <x v="2"/>
    <x v="9"/>
  </r>
  <r>
    <x v="404"/>
    <d v="2025-10-22T16:50:01"/>
    <s v="Vihaan Sharma"/>
    <s v="Indore"/>
    <x v="4"/>
    <x v="4"/>
    <x v="0"/>
    <n v="3820.37"/>
    <n v="2"/>
    <x v="0"/>
    <n v="866.8"/>
    <x v="0"/>
    <x v="9"/>
  </r>
  <r>
    <x v="405"/>
    <d v="2025-10-23T10:20:26"/>
    <s v="Neha Singh"/>
    <s v="Chennai"/>
    <x v="1"/>
    <x v="0"/>
    <x v="0"/>
    <n v="32259.48"/>
    <n v="3"/>
    <x v="1"/>
    <n v="8840.76"/>
    <x v="0"/>
    <x v="9"/>
  </r>
  <r>
    <x v="406"/>
    <d v="2025-10-24T03:50:52"/>
    <s v="Rohan Khan"/>
    <s v="Mumbai"/>
    <x v="6"/>
    <x v="6"/>
    <x v="2"/>
    <n v="818.33"/>
    <n v="1"/>
    <x v="1"/>
    <n v="135.78"/>
    <x v="4"/>
    <x v="9"/>
  </r>
  <r>
    <x v="407"/>
    <d v="2025-10-24T21:21:17"/>
    <s v="Arjun Jain"/>
    <s v="Mumbai"/>
    <x v="6"/>
    <x v="4"/>
    <x v="0"/>
    <n v="7803.15"/>
    <n v="4"/>
    <x v="0"/>
    <n v="1886.47"/>
    <x v="3"/>
    <x v="9"/>
  </r>
  <r>
    <x v="408"/>
    <d v="2025-10-25T14:51:42"/>
    <s v="Neha Verma"/>
    <s v="Bengaluru"/>
    <x v="5"/>
    <x v="6"/>
    <x v="2"/>
    <n v="2701.23"/>
    <n v="3"/>
    <x v="4"/>
    <n v="385.12"/>
    <x v="3"/>
    <x v="9"/>
  </r>
  <r>
    <x v="409"/>
    <d v="2025-10-26T08:22:07"/>
    <s v="Aarav Gupta"/>
    <s v="Ahmedabad"/>
    <x v="0"/>
    <x v="4"/>
    <x v="0"/>
    <n v="5762.12"/>
    <n v="3"/>
    <x v="1"/>
    <n v="520.71"/>
    <x v="0"/>
    <x v="9"/>
  </r>
  <r>
    <x v="410"/>
    <d v="2025-10-27T01:52:33"/>
    <s v="Rohan Khan"/>
    <s v="Delhi"/>
    <x v="9"/>
    <x v="3"/>
    <x v="2"/>
    <n v="7088.89"/>
    <n v="4"/>
    <x v="2"/>
    <n v="1605.92"/>
    <x v="0"/>
    <x v="9"/>
  </r>
  <r>
    <x v="411"/>
    <d v="2025-10-27T19:22:58"/>
    <s v="Neha Singh"/>
    <s v="Indore"/>
    <x v="4"/>
    <x v="2"/>
    <x v="0"/>
    <n v="30085.54"/>
    <n v="1"/>
    <x v="2"/>
    <n v="2747.33"/>
    <x v="2"/>
    <x v="9"/>
  </r>
  <r>
    <x v="412"/>
    <d v="2025-10-28T12:53:23"/>
    <s v="Priya Patel"/>
    <s v="Pune"/>
    <x v="6"/>
    <x v="6"/>
    <x v="2"/>
    <n v="2637.96"/>
    <n v="3"/>
    <x v="1"/>
    <n v="733.54"/>
    <x v="3"/>
    <x v="9"/>
  </r>
  <r>
    <x v="413"/>
    <d v="2025-10-29T06:23:48"/>
    <s v="Kavya Gupta"/>
    <s v="Hyderabad"/>
    <x v="3"/>
    <x v="10"/>
    <x v="3"/>
    <n v="23640.84"/>
    <n v="2"/>
    <x v="3"/>
    <n v="2378.84"/>
    <x v="1"/>
    <x v="9"/>
  </r>
  <r>
    <x v="414"/>
    <d v="2025-10-29T23:54:14"/>
    <s v="Isha Jain"/>
    <s v="Hyderabad"/>
    <x v="3"/>
    <x v="11"/>
    <x v="2"/>
    <n v="3629.87"/>
    <n v="2"/>
    <x v="2"/>
    <n v="541.96"/>
    <x v="0"/>
    <x v="9"/>
  </r>
  <r>
    <x v="415"/>
    <d v="2025-10-30T17:24:39"/>
    <s v="Kavya Khan"/>
    <s v="Mumbai"/>
    <x v="6"/>
    <x v="5"/>
    <x v="3"/>
    <n v="472.59"/>
    <n v="2"/>
    <x v="2"/>
    <n v="64.98"/>
    <x v="3"/>
    <x v="9"/>
  </r>
  <r>
    <x v="416"/>
    <d v="2025-10-31T10:55:04"/>
    <s v="Rahul Singh"/>
    <s v="Chennai"/>
    <x v="1"/>
    <x v="8"/>
    <x v="1"/>
    <n v="18849.78"/>
    <n v="3"/>
    <x v="3"/>
    <n v="2628.76"/>
    <x v="1"/>
    <x v="9"/>
  </r>
  <r>
    <x v="417"/>
    <d v="2025-11-01T04:25:29"/>
    <s v="Aditya Khan"/>
    <s v="Mumbai"/>
    <x v="6"/>
    <x v="0"/>
    <x v="0"/>
    <n v="41677.599999999999"/>
    <n v="3"/>
    <x v="2"/>
    <n v="3460.16"/>
    <x v="0"/>
    <x v="10"/>
  </r>
  <r>
    <x v="418"/>
    <d v="2025-11-01T21:55:55"/>
    <s v="Sneha Patel"/>
    <s v="Lucknow"/>
    <x v="8"/>
    <x v="10"/>
    <x v="3"/>
    <n v="14196.82"/>
    <n v="1"/>
    <x v="1"/>
    <n v="2628.56"/>
    <x v="4"/>
    <x v="10"/>
  </r>
  <r>
    <x v="419"/>
    <d v="2025-11-02T15:26:20"/>
    <s v="Rahul Verma"/>
    <s v="Pune"/>
    <x v="6"/>
    <x v="9"/>
    <x v="0"/>
    <n v="145492.34"/>
    <n v="3"/>
    <x v="4"/>
    <n v="39129.760000000002"/>
    <x v="4"/>
    <x v="10"/>
  </r>
  <r>
    <x v="420"/>
    <d v="2025-11-03T08:56:45"/>
    <s v="Aarav Singh"/>
    <s v="Chennai"/>
    <x v="1"/>
    <x v="1"/>
    <x v="1"/>
    <n v="45806.77"/>
    <n v="4"/>
    <x v="1"/>
    <n v="7403.76"/>
    <x v="2"/>
    <x v="10"/>
  </r>
  <r>
    <x v="421"/>
    <d v="2025-11-04T02:27:10"/>
    <s v="Kavya Khan"/>
    <s v="Hyderabad"/>
    <x v="3"/>
    <x v="0"/>
    <x v="0"/>
    <n v="45377.24"/>
    <n v="3"/>
    <x v="2"/>
    <n v="11251.76"/>
    <x v="2"/>
    <x v="10"/>
  </r>
  <r>
    <x v="422"/>
    <d v="2025-11-04T19:57:36"/>
    <s v="Ananya Singh"/>
    <s v="Lucknow"/>
    <x v="8"/>
    <x v="2"/>
    <x v="0"/>
    <n v="88206.74"/>
    <n v="3"/>
    <x v="4"/>
    <n v="20259.05"/>
    <x v="4"/>
    <x v="10"/>
  </r>
  <r>
    <x v="423"/>
    <d v="2025-11-05T13:28:01"/>
    <s v="Ananya Joshi"/>
    <s v="Chennai"/>
    <x v="1"/>
    <x v="10"/>
    <x v="3"/>
    <n v="34535.01"/>
    <n v="3"/>
    <x v="1"/>
    <n v="6998.81"/>
    <x v="3"/>
    <x v="10"/>
  </r>
  <r>
    <x v="424"/>
    <d v="2025-11-06T06:58:26"/>
    <s v="Arjun Sharma"/>
    <s v="Bhopal"/>
    <x v="4"/>
    <x v="0"/>
    <x v="0"/>
    <n v="61419.22"/>
    <n v="5"/>
    <x v="4"/>
    <n v="15692.24"/>
    <x v="2"/>
    <x v="10"/>
  </r>
  <r>
    <x v="425"/>
    <d v="2025-11-07T00:28:51"/>
    <s v="Kavya Sharma"/>
    <s v="Delhi"/>
    <x v="9"/>
    <x v="3"/>
    <x v="2"/>
    <n v="2971.15"/>
    <n v="2"/>
    <x v="2"/>
    <n v="673.1"/>
    <x v="0"/>
    <x v="10"/>
  </r>
  <r>
    <x v="426"/>
    <d v="2025-11-07T17:59:17"/>
    <s v="Priya Verma"/>
    <s v="Bhopal"/>
    <x v="4"/>
    <x v="8"/>
    <x v="1"/>
    <n v="19074.87"/>
    <n v="2"/>
    <x v="2"/>
    <n v="3408.68"/>
    <x v="3"/>
    <x v="10"/>
  </r>
  <r>
    <x v="427"/>
    <d v="2025-11-08T11:29:42"/>
    <s v="Ananya Khan"/>
    <s v="Jaipur"/>
    <x v="2"/>
    <x v="9"/>
    <x v="0"/>
    <n v="166061.73000000001"/>
    <n v="3"/>
    <x v="4"/>
    <n v="25610.47"/>
    <x v="0"/>
    <x v="10"/>
  </r>
  <r>
    <x v="428"/>
    <d v="2025-11-09T05:00:07"/>
    <s v="Vihaan Mehta"/>
    <s v="Hyderabad"/>
    <x v="3"/>
    <x v="8"/>
    <x v="1"/>
    <n v="7988.82"/>
    <n v="1"/>
    <x v="3"/>
    <n v="2012.9"/>
    <x v="0"/>
    <x v="10"/>
  </r>
  <r>
    <x v="429"/>
    <d v="2025-11-09T22:30:32"/>
    <s v="Priya Singh"/>
    <s v="Delhi"/>
    <x v="9"/>
    <x v="2"/>
    <x v="0"/>
    <n v="150135.78"/>
    <n v="5"/>
    <x v="1"/>
    <n v="37042.79"/>
    <x v="3"/>
    <x v="10"/>
  </r>
  <r>
    <x v="430"/>
    <d v="2025-11-10T16:00:58"/>
    <s v="Sneha Yadav"/>
    <s v="Kolkata"/>
    <x v="7"/>
    <x v="3"/>
    <x v="2"/>
    <n v="9278.43"/>
    <n v="5"/>
    <x v="2"/>
    <n v="1670.27"/>
    <x v="2"/>
    <x v="10"/>
  </r>
  <r>
    <x v="431"/>
    <d v="2025-11-11T09:31:23"/>
    <s v="Aarav Jain"/>
    <s v="Pune"/>
    <x v="6"/>
    <x v="6"/>
    <x v="2"/>
    <n v="4458.8599999999997"/>
    <n v="5"/>
    <x v="4"/>
    <n v="544.01"/>
    <x v="0"/>
    <x v="10"/>
  </r>
  <r>
    <x v="432"/>
    <d v="2025-11-12T03:01:48"/>
    <s v="Rohan Sharma"/>
    <s v="Jaipur"/>
    <x v="2"/>
    <x v="2"/>
    <x v="0"/>
    <n v="27842.13"/>
    <n v="1"/>
    <x v="4"/>
    <n v="3120.89"/>
    <x v="3"/>
    <x v="10"/>
  </r>
  <r>
    <x v="433"/>
    <d v="2025-11-12T20:32:13"/>
    <s v="Aditya Singh"/>
    <s v="Kolkata"/>
    <x v="7"/>
    <x v="11"/>
    <x v="2"/>
    <n v="3410.4"/>
    <n v="2"/>
    <x v="0"/>
    <n v="740.15"/>
    <x v="4"/>
    <x v="10"/>
  </r>
  <r>
    <x v="434"/>
    <d v="2025-11-13T14:02:39"/>
    <s v="Rohan Yadav"/>
    <s v="Indore"/>
    <x v="4"/>
    <x v="0"/>
    <x v="0"/>
    <n v="46619.35"/>
    <n v="4"/>
    <x v="1"/>
    <n v="8722.98"/>
    <x v="1"/>
    <x v="10"/>
  </r>
  <r>
    <x v="435"/>
    <d v="2025-11-14T07:33:04"/>
    <s v="Arjun Yadav"/>
    <s v="Bengaluru"/>
    <x v="5"/>
    <x v="10"/>
    <x v="3"/>
    <n v="56540.33"/>
    <n v="5"/>
    <x v="3"/>
    <n v="15297.72"/>
    <x v="2"/>
    <x v="10"/>
  </r>
  <r>
    <x v="436"/>
    <d v="2025-11-15T01:03:29"/>
    <s v="Aditya Jain"/>
    <s v="Lucknow"/>
    <x v="8"/>
    <x v="5"/>
    <x v="3"/>
    <n v="189.12"/>
    <n v="1"/>
    <x v="3"/>
    <n v="18.07"/>
    <x v="2"/>
    <x v="10"/>
  </r>
  <r>
    <x v="437"/>
    <d v="2025-11-15T18:33:54"/>
    <s v="Ananya Khan"/>
    <s v="Jaipur"/>
    <x v="2"/>
    <x v="11"/>
    <x v="2"/>
    <n v="3814.37"/>
    <n v="2"/>
    <x v="2"/>
    <n v="657.48"/>
    <x v="2"/>
    <x v="10"/>
  </r>
  <r>
    <x v="438"/>
    <d v="2025-11-16T12:04:20"/>
    <s v="Aarav Jain"/>
    <s v="Delhi"/>
    <x v="9"/>
    <x v="8"/>
    <x v="1"/>
    <n v="45596.24"/>
    <n v="5"/>
    <x v="2"/>
    <n v="8110.44"/>
    <x v="4"/>
    <x v="10"/>
  </r>
  <r>
    <x v="439"/>
    <d v="2025-11-17T05:34:45"/>
    <s v="Aarav Yadav"/>
    <s v="Bhopal"/>
    <x v="4"/>
    <x v="11"/>
    <x v="2"/>
    <n v="7232.26"/>
    <n v="4"/>
    <x v="4"/>
    <n v="699.44"/>
    <x v="0"/>
    <x v="10"/>
  </r>
  <r>
    <x v="440"/>
    <d v="2025-11-17T23:05:10"/>
    <s v="Sneha Jain"/>
    <s v="Lucknow"/>
    <x v="8"/>
    <x v="5"/>
    <x v="3"/>
    <n v="1024.6400000000001"/>
    <n v="4"/>
    <x v="4"/>
    <n v="125.39"/>
    <x v="0"/>
    <x v="10"/>
  </r>
  <r>
    <x v="441"/>
    <d v="2025-11-18T16:35:35"/>
    <s v="Aditya Verma"/>
    <s v="Jaipur"/>
    <x v="2"/>
    <x v="7"/>
    <x v="0"/>
    <n v="63769.88"/>
    <n v="3"/>
    <x v="2"/>
    <n v="10572.34"/>
    <x v="3"/>
    <x v="10"/>
  </r>
  <r>
    <x v="442"/>
    <d v="2025-11-19T10:06:01"/>
    <s v="Aarav Patel"/>
    <s v="Bengaluru"/>
    <x v="5"/>
    <x v="5"/>
    <x v="3"/>
    <n v="216.39"/>
    <n v="1"/>
    <x v="2"/>
    <n v="40.97"/>
    <x v="4"/>
    <x v="10"/>
  </r>
  <r>
    <x v="443"/>
    <d v="2025-11-20T03:36:26"/>
    <s v="Neha Gupta"/>
    <s v="Indore"/>
    <x v="4"/>
    <x v="11"/>
    <x v="2"/>
    <n v="8560.4599999999991"/>
    <n v="5"/>
    <x v="4"/>
    <n v="1869.73"/>
    <x v="3"/>
    <x v="10"/>
  </r>
  <r>
    <x v="444"/>
    <d v="2025-11-20T21:06:51"/>
    <s v="Aarav Joshi"/>
    <s v="Indore"/>
    <x v="4"/>
    <x v="4"/>
    <x v="0"/>
    <n v="4761.12"/>
    <n v="2"/>
    <x v="2"/>
    <n v="398.15"/>
    <x v="0"/>
    <x v="10"/>
  </r>
  <r>
    <x v="445"/>
    <d v="2025-11-21T14:37:16"/>
    <s v="Isha Joshi"/>
    <s v="Mumbai"/>
    <x v="6"/>
    <x v="11"/>
    <x v="2"/>
    <n v="5420.3"/>
    <n v="3"/>
    <x v="2"/>
    <n v="444.44"/>
    <x v="2"/>
    <x v="10"/>
  </r>
  <r>
    <x v="446"/>
    <d v="2025-11-22T08:07:42"/>
    <s v="Aditya Verma"/>
    <s v="Hyderabad"/>
    <x v="3"/>
    <x v="6"/>
    <x v="2"/>
    <n v="851.18"/>
    <n v="1"/>
    <x v="2"/>
    <n v="202.85"/>
    <x v="3"/>
    <x v="10"/>
  </r>
  <r>
    <x v="447"/>
    <d v="2025-11-23T01:38:07"/>
    <s v="Aditya Patel"/>
    <s v="Hyderabad"/>
    <x v="3"/>
    <x v="4"/>
    <x v="0"/>
    <n v="6218.05"/>
    <n v="3"/>
    <x v="2"/>
    <n v="1496.73"/>
    <x v="1"/>
    <x v="10"/>
  </r>
  <r>
    <x v="448"/>
    <d v="2025-11-23T19:08:32"/>
    <s v="Vihaan Patel"/>
    <s v="Hyderabad"/>
    <x v="3"/>
    <x v="1"/>
    <x v="1"/>
    <n v="47709.14"/>
    <n v="4"/>
    <x v="1"/>
    <n v="13184.01"/>
    <x v="4"/>
    <x v="10"/>
  </r>
  <r>
    <x v="449"/>
    <d v="2025-11-24T12:38:57"/>
    <s v="Rahul Mehta"/>
    <s v="Jaipur"/>
    <x v="2"/>
    <x v="0"/>
    <x v="0"/>
    <n v="67678.23"/>
    <n v="5"/>
    <x v="2"/>
    <n v="8393.61"/>
    <x v="0"/>
    <x v="10"/>
  </r>
  <r>
    <x v="450"/>
    <d v="2025-11-25T06:09:23"/>
    <s v="Rahul Mehta"/>
    <s v="Ahmedabad"/>
    <x v="0"/>
    <x v="0"/>
    <x v="0"/>
    <n v="40355.47"/>
    <n v="3"/>
    <x v="4"/>
    <n v="6052.88"/>
    <x v="2"/>
    <x v="10"/>
  </r>
  <r>
    <x v="451"/>
    <d v="2025-11-25T23:39:48"/>
    <s v="Arjun Mehta"/>
    <s v="Hyderabad"/>
    <x v="3"/>
    <x v="7"/>
    <x v="0"/>
    <n v="77317.81"/>
    <n v="4"/>
    <x v="4"/>
    <n v="6937.85"/>
    <x v="2"/>
    <x v="10"/>
  </r>
  <r>
    <x v="452"/>
    <d v="2025-11-26T17:10:13"/>
    <s v="Arjun Sharma"/>
    <s v="Lucknow"/>
    <x v="8"/>
    <x v="5"/>
    <x v="3"/>
    <n v="1195.01"/>
    <n v="5"/>
    <x v="2"/>
    <n v="257.52"/>
    <x v="0"/>
    <x v="10"/>
  </r>
  <r>
    <x v="453"/>
    <d v="2025-11-27T10:40:38"/>
    <s v="Isha Khan"/>
    <s v="Delhi"/>
    <x v="9"/>
    <x v="4"/>
    <x v="0"/>
    <n v="10726.76"/>
    <n v="4"/>
    <x v="4"/>
    <n v="1276.43"/>
    <x v="4"/>
    <x v="10"/>
  </r>
  <r>
    <x v="454"/>
    <d v="2025-11-28T04:11:04"/>
    <s v="Rohan Khan"/>
    <s v="Lucknow"/>
    <x v="8"/>
    <x v="9"/>
    <x v="0"/>
    <n v="137437.82999999999"/>
    <n v="3"/>
    <x v="0"/>
    <n v="34430.51"/>
    <x v="3"/>
    <x v="10"/>
  </r>
  <r>
    <x v="455"/>
    <d v="2025-11-28T21:41:29"/>
    <s v="Sneha Joshi"/>
    <s v="Kolkata"/>
    <x v="7"/>
    <x v="5"/>
    <x v="3"/>
    <n v="1264.5899999999999"/>
    <n v="5"/>
    <x v="2"/>
    <n v="152.32"/>
    <x v="4"/>
    <x v="10"/>
  </r>
  <r>
    <x v="456"/>
    <d v="2025-11-29T15:11:54"/>
    <s v="Kavya Patel"/>
    <s v="Chennai"/>
    <x v="1"/>
    <x v="2"/>
    <x v="0"/>
    <n v="115268.76"/>
    <n v="4"/>
    <x v="1"/>
    <n v="22083.82"/>
    <x v="3"/>
    <x v="10"/>
  </r>
  <r>
    <x v="457"/>
    <d v="2025-11-30T08:42:19"/>
    <s v="Rahul Joshi"/>
    <s v="Kolkata"/>
    <x v="7"/>
    <x v="4"/>
    <x v="0"/>
    <n v="3940.93"/>
    <n v="2"/>
    <x v="3"/>
    <n v="655.04999999999995"/>
    <x v="0"/>
    <x v="10"/>
  </r>
  <r>
    <x v="458"/>
    <d v="2025-12-01T02:12:45"/>
    <s v="Kavya Singh"/>
    <s v="Jaipur"/>
    <x v="2"/>
    <x v="4"/>
    <x v="0"/>
    <n v="11249.82"/>
    <n v="5"/>
    <x v="2"/>
    <n v="1329.56"/>
    <x v="3"/>
    <x v="11"/>
  </r>
  <r>
    <x v="459"/>
    <d v="2025-12-01T19:43:10"/>
    <s v="Kavya Gupta"/>
    <s v="Ahmedabad"/>
    <x v="0"/>
    <x v="11"/>
    <x v="2"/>
    <n v="5693.51"/>
    <n v="4"/>
    <x v="3"/>
    <n v="1351.31"/>
    <x v="1"/>
    <x v="11"/>
  </r>
  <r>
    <x v="460"/>
    <d v="2025-12-02T13:13:35"/>
    <s v="Rohan Verma"/>
    <s v="Kolkata"/>
    <x v="7"/>
    <x v="9"/>
    <x v="0"/>
    <n v="191270.38"/>
    <n v="4"/>
    <x v="2"/>
    <n v="25400.87"/>
    <x v="4"/>
    <x v="11"/>
  </r>
  <r>
    <x v="461"/>
    <d v="2025-12-03T06:44:00"/>
    <s v="Priya Mehta"/>
    <s v="Kolkata"/>
    <x v="7"/>
    <x v="1"/>
    <x v="1"/>
    <n v="24741"/>
    <n v="2"/>
    <x v="2"/>
    <n v="2974.19"/>
    <x v="4"/>
    <x v="11"/>
  </r>
  <r>
    <x v="462"/>
    <d v="2025-12-04T00:14:26"/>
    <s v="Rahul Khan"/>
    <s v="Ahmedabad"/>
    <x v="0"/>
    <x v="1"/>
    <x v="1"/>
    <n v="55978.86"/>
    <n v="5"/>
    <x v="0"/>
    <n v="7266.15"/>
    <x v="0"/>
    <x v="11"/>
  </r>
  <r>
    <x v="463"/>
    <d v="2025-12-04T17:44:51"/>
    <s v="Aditya Verma"/>
    <s v="Pune"/>
    <x v="6"/>
    <x v="7"/>
    <x v="0"/>
    <n v="63397"/>
    <n v="3"/>
    <x v="0"/>
    <n v="13620.96"/>
    <x v="4"/>
    <x v="11"/>
  </r>
  <r>
    <x v="464"/>
    <d v="2025-12-05T11:15:16"/>
    <s v="Isha Gupta"/>
    <s v="Indore"/>
    <x v="4"/>
    <x v="4"/>
    <x v="0"/>
    <n v="9498.86"/>
    <n v="4"/>
    <x v="0"/>
    <n v="1531.24"/>
    <x v="0"/>
    <x v="11"/>
  </r>
  <r>
    <x v="465"/>
    <d v="2025-12-06T04:45:41"/>
    <s v="Sneha Yadav"/>
    <s v="Jaipur"/>
    <x v="2"/>
    <x v="6"/>
    <x v="2"/>
    <n v="1815.76"/>
    <n v="2"/>
    <x v="2"/>
    <n v="193.43"/>
    <x v="0"/>
    <x v="11"/>
  </r>
  <r>
    <x v="466"/>
    <d v="2025-12-06T22:16:07"/>
    <s v="Aditya Patel"/>
    <s v="Mumbai"/>
    <x v="6"/>
    <x v="11"/>
    <x v="2"/>
    <n v="8299.48"/>
    <n v="5"/>
    <x v="2"/>
    <n v="779.04"/>
    <x v="3"/>
    <x v="11"/>
  </r>
  <r>
    <x v="467"/>
    <d v="2025-12-07T15:46:32"/>
    <s v="Vihaan Jain"/>
    <s v="Chennai"/>
    <x v="1"/>
    <x v="10"/>
    <x v="3"/>
    <n v="52063.11"/>
    <n v="4"/>
    <x v="0"/>
    <n v="8112.76"/>
    <x v="1"/>
    <x v="11"/>
  </r>
  <r>
    <x v="468"/>
    <d v="2025-12-08T09:16:57"/>
    <s v="Aarav Yadav"/>
    <s v="Delhi"/>
    <x v="9"/>
    <x v="3"/>
    <x v="2"/>
    <n v="8270.56"/>
    <n v="5"/>
    <x v="3"/>
    <n v="1736.01"/>
    <x v="1"/>
    <x v="11"/>
  </r>
  <r>
    <x v="469"/>
    <d v="2025-12-09T02:47:22"/>
    <s v="Rahul Patel"/>
    <s v="Jaipur"/>
    <x v="2"/>
    <x v="10"/>
    <x v="3"/>
    <n v="43404.58"/>
    <n v="3"/>
    <x v="0"/>
    <n v="6618.6"/>
    <x v="0"/>
    <x v="11"/>
  </r>
  <r>
    <x v="470"/>
    <d v="2025-12-09T20:17:48"/>
    <s v="Rahul Yadav"/>
    <s v="Delhi"/>
    <x v="9"/>
    <x v="7"/>
    <x v="0"/>
    <n v="85765.4"/>
    <n v="5"/>
    <x v="1"/>
    <n v="23572.58"/>
    <x v="0"/>
    <x v="11"/>
  </r>
  <r>
    <x v="471"/>
    <d v="2025-12-10T13:48:13"/>
    <s v="Vihaan Sharma"/>
    <s v="Indore"/>
    <x v="4"/>
    <x v="8"/>
    <x v="1"/>
    <n v="35069.339999999997"/>
    <n v="4"/>
    <x v="4"/>
    <n v="3102.53"/>
    <x v="4"/>
    <x v="11"/>
  </r>
  <r>
    <x v="472"/>
    <d v="2025-12-11T07:18:38"/>
    <s v="Isha Mehta"/>
    <s v="Bhopal"/>
    <x v="4"/>
    <x v="0"/>
    <x v="0"/>
    <n v="27310.01"/>
    <n v="2"/>
    <x v="1"/>
    <n v="6006.23"/>
    <x v="1"/>
    <x v="11"/>
  </r>
  <r>
    <x v="473"/>
    <d v="2025-12-12T00:49:03"/>
    <s v="Rohan Sharma"/>
    <s v="Jaipur"/>
    <x v="2"/>
    <x v="4"/>
    <x v="0"/>
    <n v="9467.2199999999993"/>
    <n v="4"/>
    <x v="2"/>
    <n v="1048.3800000000001"/>
    <x v="3"/>
    <x v="11"/>
  </r>
  <r>
    <x v="474"/>
    <d v="2025-12-12T18:19:29"/>
    <s v="Arjun Mehta"/>
    <s v="Pune"/>
    <x v="6"/>
    <x v="6"/>
    <x v="2"/>
    <n v="1929.9"/>
    <n v="2"/>
    <x v="4"/>
    <n v="383.7"/>
    <x v="4"/>
    <x v="11"/>
  </r>
  <r>
    <x v="474"/>
    <d v="2025-12-13T11:49:54"/>
    <s v="Sneha Jain"/>
    <s v="Bengaluru"/>
    <x v="5"/>
    <x v="5"/>
    <x v="3"/>
    <n v="219.31"/>
    <n v="1"/>
    <x v="0"/>
    <n v="56.27"/>
    <x v="4"/>
    <x v="11"/>
  </r>
  <r>
    <x v="475"/>
    <d v="2025-12-14T05:20:19"/>
    <s v="Aditya Verma"/>
    <s v="Chennai"/>
    <x v="1"/>
    <x v="1"/>
    <x v="1"/>
    <n v="36635.99"/>
    <n v="3"/>
    <x v="2"/>
    <n v="8811.98"/>
    <x v="1"/>
    <x v="11"/>
  </r>
  <r>
    <x v="476"/>
    <d v="2025-12-14T22:50:44"/>
    <s v="Rohan Singh"/>
    <s v="Delhi"/>
    <x v="9"/>
    <x v="5"/>
    <x v="3"/>
    <n v="207.36"/>
    <n v="1"/>
    <x v="3"/>
    <n v="35.869999999999997"/>
    <x v="1"/>
    <x v="11"/>
  </r>
  <r>
    <x v="477"/>
    <d v="2025-12-15T16:21:10"/>
    <s v="Aditya Patel"/>
    <s v="Ahmedabad"/>
    <x v="0"/>
    <x v="11"/>
    <x v="2"/>
    <n v="6701.96"/>
    <n v="4"/>
    <x v="0"/>
    <n v="1793.4"/>
    <x v="3"/>
    <x v="11"/>
  </r>
  <r>
    <x v="478"/>
    <d v="2025-12-16T09:51:35"/>
    <s v="Kavya Singh"/>
    <s v="Ahmedabad"/>
    <x v="0"/>
    <x v="7"/>
    <x v="0"/>
    <n v="38406.25"/>
    <n v="2"/>
    <x v="2"/>
    <n v="5135.3900000000003"/>
    <x v="4"/>
    <x v="11"/>
  </r>
  <r>
    <x v="479"/>
    <d v="2025-12-17T03:22:00"/>
    <s v="Priya Jain"/>
    <s v="Pune"/>
    <x v="6"/>
    <x v="4"/>
    <x v="0"/>
    <n v="10777.88"/>
    <n v="5"/>
    <x v="3"/>
    <n v="1810.12"/>
    <x v="0"/>
    <x v="11"/>
  </r>
  <r>
    <x v="480"/>
    <d v="2025-12-17T20:52:25"/>
    <s v="Arjun Gupta"/>
    <s v="Bengaluru"/>
    <x v="5"/>
    <x v="1"/>
    <x v="1"/>
    <n v="50068.14"/>
    <n v="4"/>
    <x v="2"/>
    <n v="7547.24"/>
    <x v="3"/>
    <x v="11"/>
  </r>
  <r>
    <x v="481"/>
    <d v="2025-12-18T14:22:51"/>
    <s v="Neha Khan"/>
    <s v="Jaipur"/>
    <x v="2"/>
    <x v="0"/>
    <x v="0"/>
    <n v="22676.49"/>
    <n v="2"/>
    <x v="0"/>
    <n v="2516.75"/>
    <x v="3"/>
    <x v="11"/>
  </r>
  <r>
    <x v="482"/>
    <d v="2025-12-19T07:53:16"/>
    <s v="Kavya Mehta"/>
    <s v="Ahmedabad"/>
    <x v="0"/>
    <x v="3"/>
    <x v="2"/>
    <n v="7453.19"/>
    <n v="4"/>
    <x v="4"/>
    <n v="1309.52"/>
    <x v="0"/>
    <x v="11"/>
  </r>
  <r>
    <x v="483"/>
    <d v="2025-12-20T01:23:41"/>
    <s v="Neha Yadav"/>
    <s v="Kolkata"/>
    <x v="7"/>
    <x v="7"/>
    <x v="0"/>
    <n v="17292.419999999998"/>
    <n v="1"/>
    <x v="3"/>
    <n v="2751.94"/>
    <x v="4"/>
    <x v="11"/>
  </r>
  <r>
    <x v="484"/>
    <d v="2025-12-20T18:54:06"/>
    <s v="Isha Mehta"/>
    <s v="Bengaluru"/>
    <x v="5"/>
    <x v="2"/>
    <x v="0"/>
    <n v="25855.7"/>
    <n v="1"/>
    <x v="2"/>
    <n v="4898.3"/>
    <x v="2"/>
    <x v="11"/>
  </r>
  <r>
    <x v="485"/>
    <d v="2025-12-21T12:24:32"/>
    <s v="Sneha Gupta"/>
    <s v="Lucknow"/>
    <x v="8"/>
    <x v="8"/>
    <x v="1"/>
    <n v="43866.45"/>
    <n v="5"/>
    <x v="0"/>
    <n v="6768.31"/>
    <x v="3"/>
    <x v="11"/>
  </r>
  <r>
    <x v="486"/>
    <d v="2025-12-22T05:54:57"/>
    <s v="Vihaan Jain"/>
    <s v="Hyderabad"/>
    <x v="3"/>
    <x v="7"/>
    <x v="0"/>
    <n v="83644.05"/>
    <n v="4"/>
    <x v="1"/>
    <n v="8648.99"/>
    <x v="1"/>
    <x v="11"/>
  </r>
  <r>
    <x v="487"/>
    <d v="2025-12-22T23:25:22"/>
    <s v="Ananya Yadav"/>
    <s v="Chennai"/>
    <x v="1"/>
    <x v="10"/>
    <x v="3"/>
    <n v="71206.52"/>
    <n v="5"/>
    <x v="0"/>
    <n v="12961.7"/>
    <x v="1"/>
    <x v="11"/>
  </r>
  <r>
    <x v="488"/>
    <d v="2025-12-23T16:55:47"/>
    <s v="Priya Gupta"/>
    <s v="Kolkata"/>
    <x v="7"/>
    <x v="8"/>
    <x v="1"/>
    <n v="9169.7099999999991"/>
    <n v="1"/>
    <x v="2"/>
    <n v="975.02"/>
    <x v="0"/>
    <x v="11"/>
  </r>
  <r>
    <x v="489"/>
    <d v="2025-12-24T10:26:13"/>
    <s v="Rahul Mehta"/>
    <s v="Kolkata"/>
    <x v="7"/>
    <x v="4"/>
    <x v="0"/>
    <n v="9719.67"/>
    <n v="5"/>
    <x v="5"/>
    <n v="1951.42"/>
    <x v="2"/>
    <x v="11"/>
  </r>
  <r>
    <x v="490"/>
    <d v="2025-12-25T03:56:38"/>
    <s v="Rohan Singh"/>
    <s v="Jaipur"/>
    <x v="2"/>
    <x v="4"/>
    <x v="0"/>
    <n v="4801.09"/>
    <n v="2"/>
    <x v="4"/>
    <n v="918.72"/>
    <x v="2"/>
    <x v="11"/>
  </r>
  <r>
    <x v="491"/>
    <d v="2025-12-25T21:27:03"/>
    <s v="Kavya Patel"/>
    <s v="Hyderabad"/>
    <x v="3"/>
    <x v="11"/>
    <x v="2"/>
    <n v="3261.34"/>
    <n v="2"/>
    <x v="1"/>
    <n v="751.2"/>
    <x v="2"/>
    <x v="11"/>
  </r>
  <r>
    <x v="492"/>
    <d v="2025-12-26T14:57:28"/>
    <s v="Aarav Mehta"/>
    <s v="Pune"/>
    <x v="6"/>
    <x v="0"/>
    <x v="0"/>
    <n v="61154.51"/>
    <n v="5"/>
    <x v="2"/>
    <n v="11672.41"/>
    <x v="3"/>
    <x v="11"/>
  </r>
  <r>
    <x v="493"/>
    <d v="2025-12-27T08:27:54"/>
    <s v="Kavya Jain"/>
    <s v="Bengaluru"/>
    <x v="5"/>
    <x v="2"/>
    <x v="0"/>
    <n v="73702.52"/>
    <n v="3"/>
    <x v="2"/>
    <n v="8955.4599999999991"/>
    <x v="4"/>
    <x v="11"/>
  </r>
  <r>
    <x v="494"/>
    <d v="2025-12-28T01:58:19"/>
    <s v="Aarav Jain"/>
    <s v="Indore"/>
    <x v="4"/>
    <x v="7"/>
    <x v="0"/>
    <n v="21002.78"/>
    <n v="1"/>
    <x v="1"/>
    <n v="4874.43"/>
    <x v="4"/>
    <x v="11"/>
  </r>
  <r>
    <x v="495"/>
    <d v="2025-12-28T19:28:44"/>
    <s v="Aarav Mehta"/>
    <s v="Bhopal"/>
    <x v="4"/>
    <x v="2"/>
    <x v="0"/>
    <n v="134170.78"/>
    <n v="5"/>
    <x v="0"/>
    <n v="11953.34"/>
    <x v="0"/>
    <x v="11"/>
  </r>
  <r>
    <x v="496"/>
    <d v="2025-12-29T12:59:09"/>
    <s v="Arjun Sharma"/>
    <s v="Pune"/>
    <x v="6"/>
    <x v="10"/>
    <x v="3"/>
    <n v="54159.63"/>
    <n v="4"/>
    <x v="1"/>
    <n v="4877"/>
    <x v="2"/>
    <x v="11"/>
  </r>
  <r>
    <x v="497"/>
    <d v="2025-12-30T06:29:35"/>
    <s v="Isha Sharma"/>
    <s v="Pune"/>
    <x v="6"/>
    <x v="10"/>
    <x v="3"/>
    <n v="13882.23"/>
    <n v="1"/>
    <x v="0"/>
    <n v="1708.9"/>
    <x v="4"/>
    <x v="11"/>
  </r>
  <r>
    <x v="498"/>
    <d v="2025-12-31T00:00:00"/>
    <s v="Aditya Jain"/>
    <s v="Hyderabad"/>
    <x v="3"/>
    <x v="10"/>
    <x v="3"/>
    <n v="38562.589999999997"/>
    <n v="3"/>
    <x v="2"/>
    <n v="9266.17"/>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E9DA2-1CE3-488F-A2D7-4FADB6F1AEF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6" firstHeaderRow="0" firstDataRow="1" firstDataCol="1"/>
  <pivotFields count="13">
    <pivotField dataField="1"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umFmtId="165" showAll="0"/>
    <pivotField showAll="0"/>
    <pivotField showAll="0"/>
    <pivotField showAll="0">
      <items count="11">
        <item x="9"/>
        <item x="0"/>
        <item x="5"/>
        <item x="4"/>
        <item x="6"/>
        <item x="2"/>
        <item x="1"/>
        <item x="3"/>
        <item x="8"/>
        <item x="7"/>
        <item t="default"/>
      </items>
    </pivotField>
    <pivotField showAll="0"/>
    <pivotField showAll="0">
      <items count="5">
        <item x="2"/>
        <item x="0"/>
        <item x="1"/>
        <item x="3"/>
        <item t="default"/>
      </items>
    </pivotField>
    <pivotField dataField="1" showAll="0"/>
    <pivotField showAll="0"/>
    <pivotField numFmtId="9" showAll="0"/>
    <pivotField dataField="1" showAll="0"/>
    <pivotField showAll="0">
      <items count="6">
        <item x="1"/>
        <item x="3"/>
        <item x="0"/>
        <item x="4"/>
        <item x="2"/>
        <item t="default"/>
      </items>
    </pivotField>
    <pivotField axis="axisRow"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12"/>
  </rowFields>
  <rowItems count="13">
    <i>
      <x v="12"/>
    </i>
    <i>
      <x v="13"/>
    </i>
    <i>
      <x v="14"/>
    </i>
    <i>
      <x v="15"/>
    </i>
    <i>
      <x v="16"/>
    </i>
    <i>
      <x v="17"/>
    </i>
    <i>
      <x v="18"/>
    </i>
    <i>
      <x v="19"/>
    </i>
    <i>
      <x v="20"/>
    </i>
    <i>
      <x v="21"/>
    </i>
    <i>
      <x v="22"/>
    </i>
    <i>
      <x v="23"/>
    </i>
    <i t="grand">
      <x/>
    </i>
  </rowItems>
  <colFields count="1">
    <field x="-2"/>
  </colFields>
  <colItems count="3">
    <i>
      <x/>
    </i>
    <i i="1">
      <x v="1"/>
    </i>
    <i i="2">
      <x v="2"/>
    </i>
  </colItems>
  <dataFields count="3">
    <dataField name="Sum of Sales" fld="7" baseField="0" baseItem="0"/>
    <dataField name="Sum of Profit" fld="10" baseField="0" baseItem="0"/>
    <dataField name="Count of Order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0B1DE7-7F96-45EE-9449-E05AA00E372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13">
    <pivotField showAll="0"/>
    <pivotField numFmtId="165" showAll="0"/>
    <pivotField showAll="0"/>
    <pivotField showAll="0"/>
    <pivotField showAll="0">
      <items count="11">
        <item x="9"/>
        <item x="0"/>
        <item x="5"/>
        <item x="4"/>
        <item x="6"/>
        <item x="2"/>
        <item x="1"/>
        <item x="3"/>
        <item x="8"/>
        <item x="7"/>
        <item t="default"/>
      </items>
    </pivotField>
    <pivotField showAll="0"/>
    <pivotField axis="axisRow" showAll="0">
      <items count="5">
        <item x="2"/>
        <item x="0"/>
        <item x="1"/>
        <item x="3"/>
        <item t="default"/>
      </items>
    </pivotField>
    <pivotField showAll="0"/>
    <pivotField showAll="0"/>
    <pivotField numFmtId="9" showAll="0"/>
    <pivotField dataField="1" showAll="0"/>
    <pivotField showAll="0">
      <items count="6">
        <item x="1"/>
        <item x="3"/>
        <item x="0"/>
        <item x="4"/>
        <item x="2"/>
        <item t="default"/>
      </items>
    </pivotField>
    <pivotField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Sum of Profit" fld="10" baseField="0" baseItem="0"/>
  </dataFields>
  <chartFormats count="3">
    <chartFormat chart="5"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670ED-C3CE-4C5A-9E26-222B5919452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3">
    <pivotField showAll="0"/>
    <pivotField numFmtId="165" showAll="0"/>
    <pivotField showAll="0"/>
    <pivotField showAll="0"/>
    <pivotField showAll="0">
      <items count="11">
        <item x="9"/>
        <item x="0"/>
        <item x="5"/>
        <item x="4"/>
        <item x="6"/>
        <item x="2"/>
        <item x="1"/>
        <item x="3"/>
        <item x="8"/>
        <item x="7"/>
        <item t="default"/>
      </items>
    </pivotField>
    <pivotField axis="axisRow" showAll="0" measureFilter="1" sortType="descending">
      <items count="13">
        <item x="3"/>
        <item x="1"/>
        <item x="4"/>
        <item x="11"/>
        <item x="9"/>
        <item x="0"/>
        <item x="6"/>
        <item x="5"/>
        <item x="8"/>
        <item x="10"/>
        <item x="2"/>
        <item x="7"/>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showAll="0"/>
    <pivotField showAll="0"/>
    <pivotField numFmtId="9" showAll="0"/>
    <pivotField showAll="0"/>
    <pivotField showAll="0">
      <items count="6">
        <item x="1"/>
        <item x="3"/>
        <item x="0"/>
        <item x="4"/>
        <item x="2"/>
        <item t="default"/>
      </items>
    </pivotField>
    <pivotField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5"/>
  </rowFields>
  <rowItems count="11">
    <i>
      <x v="4"/>
    </i>
    <i>
      <x v="10"/>
    </i>
    <i>
      <x v="11"/>
    </i>
    <i>
      <x v="9"/>
    </i>
    <i>
      <x v="5"/>
    </i>
    <i>
      <x v="1"/>
    </i>
    <i>
      <x v="8"/>
    </i>
    <i>
      <x v="2"/>
    </i>
    <i>
      <x v="3"/>
    </i>
    <i>
      <x/>
    </i>
    <i t="grand">
      <x/>
    </i>
  </rowItems>
  <colItems count="1">
    <i/>
  </colItems>
  <dataFields count="1">
    <dataField name="Sum of Sales" fld="7" baseField="0" baseItem="0"/>
  </dataField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0279E-B6FD-4AB3-8BA1-A25C6D2D242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4" firstHeaderRow="1" firstDataRow="1" firstDataCol="1"/>
  <pivotFields count="13">
    <pivotField showAll="0"/>
    <pivotField numFmtId="165" showAll="0"/>
    <pivotField showAll="0"/>
    <pivotField showAll="0"/>
    <pivotField axis="axisRow" showAll="0">
      <items count="11">
        <item x="9"/>
        <item x="0"/>
        <item x="5"/>
        <item x="4"/>
        <item x="6"/>
        <item x="2"/>
        <item x="1"/>
        <item x="3"/>
        <item x="8"/>
        <item x="7"/>
        <item t="default"/>
      </items>
    </pivotField>
    <pivotField showAll="0"/>
    <pivotField showAll="0">
      <items count="5">
        <item x="2"/>
        <item x="0"/>
        <item x="1"/>
        <item x="3"/>
        <item t="default"/>
      </items>
    </pivotField>
    <pivotField dataField="1" showAll="0"/>
    <pivotField showAll="0"/>
    <pivotField numFmtId="9" showAll="0"/>
    <pivotField showAll="0"/>
    <pivotField showAll="0">
      <items count="6">
        <item x="1"/>
        <item x="3"/>
        <item x="0"/>
        <item x="4"/>
        <item x="2"/>
        <item t="default"/>
      </items>
    </pivotField>
    <pivotField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chartFormats count="3">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F786F-73E2-4434-B21D-49E57A3683A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3">
    <pivotField showAll="0"/>
    <pivotField numFmtId="165" showAll="0"/>
    <pivotField showAll="0"/>
    <pivotField showAll="0"/>
    <pivotField showAll="0">
      <items count="11">
        <item x="9"/>
        <item x="0"/>
        <item x="5"/>
        <item x="4"/>
        <item x="6"/>
        <item x="2"/>
        <item x="1"/>
        <item x="3"/>
        <item x="8"/>
        <item x="7"/>
        <item t="default"/>
      </items>
    </pivotField>
    <pivotField showAll="0"/>
    <pivotField showAll="0">
      <items count="5">
        <item x="2"/>
        <item x="0"/>
        <item x="1"/>
        <item x="3"/>
        <item t="default"/>
      </items>
    </pivotField>
    <pivotField dataField="1" showAll="0"/>
    <pivotField showAll="0"/>
    <pivotField numFmtId="9" showAll="0"/>
    <pivotField showAll="0"/>
    <pivotField axis="axisRow" showAll="0">
      <items count="6">
        <item x="1"/>
        <item x="3"/>
        <item x="0"/>
        <item x="4"/>
        <item x="2"/>
        <item t="default"/>
      </items>
    </pivotField>
    <pivotField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11"/>
  </rowFields>
  <rowItems count="6">
    <i>
      <x/>
    </i>
    <i>
      <x v="1"/>
    </i>
    <i>
      <x v="2"/>
    </i>
    <i>
      <x v="3"/>
    </i>
    <i>
      <x v="4"/>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D6BE2B-E11F-4242-A387-48D72010B4CA}"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0" firstHeaderRow="0" firstDataRow="1" firstDataCol="1"/>
  <pivotFields count="13">
    <pivotField dataField="1" showAll="0"/>
    <pivotField numFmtId="165" showAll="0"/>
    <pivotField showAll="0"/>
    <pivotField showAll="0"/>
    <pivotField showAll="0">
      <items count="11">
        <item x="9"/>
        <item x="0"/>
        <item x="5"/>
        <item x="4"/>
        <item x="6"/>
        <item x="2"/>
        <item x="1"/>
        <item x="3"/>
        <item x="8"/>
        <item x="7"/>
        <item t="default"/>
      </items>
    </pivotField>
    <pivotField showAll="0"/>
    <pivotField showAll="0">
      <items count="5">
        <item x="2"/>
        <item x="0"/>
        <item x="1"/>
        <item x="3"/>
        <item t="default"/>
      </items>
    </pivotField>
    <pivotField dataField="1" showAll="0"/>
    <pivotField showAll="0"/>
    <pivotField axis="axisRow" numFmtId="9" showAll="0">
      <items count="7">
        <item x="4"/>
        <item x="2"/>
        <item x="1"/>
        <item x="0"/>
        <item x="3"/>
        <item x="5"/>
        <item t="default"/>
      </items>
    </pivotField>
    <pivotField dataField="1" showAll="0"/>
    <pivotField showAll="0">
      <items count="6">
        <item x="1"/>
        <item x="3"/>
        <item x="0"/>
        <item x="4"/>
        <item x="2"/>
        <item t="default"/>
      </items>
    </pivotField>
    <pivotField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9"/>
  </rowFields>
  <rowItems count="7">
    <i>
      <x/>
    </i>
    <i>
      <x v="1"/>
    </i>
    <i>
      <x v="2"/>
    </i>
    <i>
      <x v="3"/>
    </i>
    <i>
      <x v="4"/>
    </i>
    <i>
      <x v="5"/>
    </i>
    <i t="grand">
      <x/>
    </i>
  </rowItems>
  <colFields count="1">
    <field x="-2"/>
  </colFields>
  <colItems count="3">
    <i>
      <x/>
    </i>
    <i i="1">
      <x v="1"/>
    </i>
    <i i="2">
      <x v="2"/>
    </i>
  </colItems>
  <dataFields count="3">
    <dataField name="Sum of Sales" fld="7" baseField="0" baseItem="0"/>
    <dataField name="Sum of Profit" fld="10"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DAAD15-8361-4937-A3D3-030795192E9D}"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pivotFields count="13">
    <pivotField showAll="0"/>
    <pivotField numFmtId="165" showAll="0"/>
    <pivotField showAll="0"/>
    <pivotField showAll="0"/>
    <pivotField showAll="0">
      <items count="11">
        <item x="9"/>
        <item x="0"/>
        <item x="5"/>
        <item x="4"/>
        <item x="6"/>
        <item x="2"/>
        <item x="1"/>
        <item x="3"/>
        <item x="8"/>
        <item x="7"/>
        <item t="default"/>
      </items>
    </pivotField>
    <pivotField showAll="0"/>
    <pivotField showAll="0">
      <items count="5">
        <item x="2"/>
        <item x="0"/>
        <item x="1"/>
        <item x="3"/>
        <item t="default"/>
      </items>
    </pivotField>
    <pivotField dataField="1" showAll="0"/>
    <pivotField showAll="0"/>
    <pivotField numFmtId="9" showAll="0"/>
    <pivotField showAll="0"/>
    <pivotField showAll="0">
      <items count="6">
        <item x="1"/>
        <item x="3"/>
        <item x="0"/>
        <item x="4"/>
        <item x="2"/>
        <item t="default"/>
      </items>
    </pivotField>
    <pivotField axis="axisRow" showAll="0">
      <items count="25">
        <item m="1" x="20"/>
        <item m="1" x="14"/>
        <item m="1" x="22"/>
        <item m="1" x="19"/>
        <item m="1" x="18"/>
        <item m="1" x="12"/>
        <item m="1" x="15"/>
        <item m="1" x="13"/>
        <item m="1" x="16"/>
        <item m="1" x="21"/>
        <item m="1" x="23"/>
        <item m="1" x="17"/>
        <item x="0"/>
        <item x="1"/>
        <item x="2"/>
        <item x="3"/>
        <item x="4"/>
        <item x="5"/>
        <item x="6"/>
        <item x="7"/>
        <item x="8"/>
        <item x="9"/>
        <item x="10"/>
        <item x="11"/>
        <item t="default"/>
      </items>
    </pivotField>
  </pivotFields>
  <rowFields count="1">
    <field x="12"/>
  </rowFields>
  <rowItems count="13">
    <i>
      <x v="12"/>
    </i>
    <i>
      <x v="13"/>
    </i>
    <i>
      <x v="14"/>
    </i>
    <i>
      <x v="15"/>
    </i>
    <i>
      <x v="16"/>
    </i>
    <i>
      <x v="17"/>
    </i>
    <i>
      <x v="18"/>
    </i>
    <i>
      <x v="19"/>
    </i>
    <i>
      <x v="20"/>
    </i>
    <i>
      <x v="21"/>
    </i>
    <i>
      <x v="22"/>
    </i>
    <i>
      <x v="23"/>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EAB759-0505-4223-BC4F-A6F0AFBC1FB0}" sourceName="Category">
  <pivotTables>
    <pivotTable tabId="5" name="PivotTable2"/>
    <pivotTable tabId="9" name="PivotTable6"/>
    <pivotTable tabId="8" name="PivotTable5"/>
    <pivotTable tabId="4" name="PivotTable1"/>
    <pivotTable tabId="6" name="PivotTable3"/>
    <pivotTable tabId="11" name="PivotTable7"/>
    <pivotTable tabId="7" name="PivotTable4"/>
  </pivotTables>
  <data>
    <tabular pivotCacheId="13805578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22E67AB-BA9B-4DC2-80CD-C3421BF857B4}" sourceName="State">
  <pivotTables>
    <pivotTable tabId="7" name="PivotTable4"/>
    <pivotTable tabId="5" name="PivotTable2"/>
    <pivotTable tabId="9" name="PivotTable6"/>
    <pivotTable tabId="8" name="PivotTable5"/>
    <pivotTable tabId="4" name="PivotTable1"/>
    <pivotTable tabId="6" name="PivotTable3"/>
    <pivotTable tabId="11" name="PivotTable7"/>
  </pivotTables>
  <data>
    <tabular pivotCacheId="138055781">
      <items count="10">
        <i x="9" s="1"/>
        <i x="0" s="1"/>
        <i x="5" s="1"/>
        <i x="4" s="1"/>
        <i x="6" s="1"/>
        <i x="2" s="1"/>
        <i x="1" s="1"/>
        <i x="3"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85000AF-0DB8-4EC4-B8FB-3A8F2ADABD80}" sourceName="Payment_Mode">
  <pivotTables>
    <pivotTable tabId="8" name="PivotTable5"/>
    <pivotTable tabId="5" name="PivotTable2"/>
    <pivotTable tabId="9" name="PivotTable6"/>
    <pivotTable tabId="4" name="PivotTable1"/>
    <pivotTable tabId="6" name="PivotTable3"/>
    <pivotTable tabId="11" name="PivotTable7"/>
    <pivotTable tabId="7" name="PivotTable4"/>
  </pivotTables>
  <data>
    <tabular pivotCacheId="138055781">
      <items count="5">
        <i x="1" s="1"/>
        <i x="3"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C0D6314-DCC5-4125-8033-C8FEFA86DE01}" sourceName="MONTH">
  <pivotTables>
    <pivotTable tabId="11" name="PivotTable7"/>
    <pivotTable tabId="5" name="PivotTable2"/>
    <pivotTable tabId="9" name="PivotTable6"/>
    <pivotTable tabId="8" name="PivotTable5"/>
    <pivotTable tabId="4" name="PivotTable1"/>
    <pivotTable tabId="6" name="PivotTable3"/>
    <pivotTable tabId="7" name="PivotTable4"/>
  </pivotTables>
  <data>
    <tabular pivotCacheId="138055781">
      <items count="24">
        <i x="0" s="1"/>
        <i x="1" s="1"/>
        <i x="2" s="1"/>
        <i x="3" s="1"/>
        <i x="4" s="1"/>
        <i x="5" s="1"/>
        <i x="6" s="1"/>
        <i x="7" s="1"/>
        <i x="8" s="1"/>
        <i x="9" s="1"/>
        <i x="10" s="1"/>
        <i x="11" s="1"/>
        <i x="20" s="1" nd="1"/>
        <i x="14" s="1" nd="1"/>
        <i x="22" s="1" nd="1"/>
        <i x="19" s="1" nd="1"/>
        <i x="18" s="1" nd="1"/>
        <i x="12" s="1" nd="1"/>
        <i x="15" s="1" nd="1"/>
        <i x="13" s="1" nd="1"/>
        <i x="16" s="1" nd="1"/>
        <i x="21" s="1" nd="1"/>
        <i x="23"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FA81E85-3FC5-4CB2-BEF1-99C1FFD40C3D}" cache="Slicer_Category" caption="Category" rowHeight="234950"/>
  <slicer name="State" xr10:uid="{D3EC6B97-5095-45F4-8422-E4E5AD3F51DC}" cache="Slicer_State" caption="State" rowHeight="234950"/>
  <slicer name="Payment_Mode" xr10:uid="{C453F709-4B39-4F17-937C-7AACCFA721AC}" cache="Slicer_Payment_Mode" caption="Payment_Mode" rowHeight="234950"/>
  <slicer name="MONTH" xr10:uid="{35A53E30-08C8-4277-A762-4C27AABD1E77}"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ECCC0-C52E-4062-9270-F1288124F2EA}" name="SalesData" displayName="SalesData" ref="A1:M501" totalsRowShown="0" headerRowDxfId="6" headerRowBorderDxfId="5" tableBorderDxfId="4">
  <autoFilter ref="A1:M501" xr:uid="{CAB43A86-5D45-4068-8D4D-D093228BD2B1}"/>
  <tableColumns count="13">
    <tableColumn id="1" xr3:uid="{A1C3D026-9898-4A3B-A17B-5B20B22C2468}" name="Order ID"/>
    <tableColumn id="2" xr3:uid="{5292C9D1-10DA-45EA-AC20-41B566BF12C7}" name="Order Date" dataDxfId="3"/>
    <tableColumn id="3" xr3:uid="{9BBBF2C5-5AE6-4CEE-B801-2A4460F6BB1C}" name="Customer_Name"/>
    <tableColumn id="4" xr3:uid="{4B92131E-7D1D-4653-8D1C-290DD1B01B29}" name="City"/>
    <tableColumn id="5" xr3:uid="{917FD4F9-7997-4F04-BACC-B20B1D107AC3}" name="State"/>
    <tableColumn id="6" xr3:uid="{8AE009BD-292A-4245-B213-35A53D2D523C}" name="Product"/>
    <tableColumn id="7" xr3:uid="{0A8584FE-1E11-4239-BE94-2B1CBB0E35D7}" name="Category"/>
    <tableColumn id="8" xr3:uid="{81BEDE5E-DE70-40A3-9C84-3CBD3459E41D}" name="Sales" dataDxfId="2"/>
    <tableColumn id="9" xr3:uid="{1B08042F-7505-4A7D-8E03-30CABABDBE5B}" name="Quantity"/>
    <tableColumn id="10" xr3:uid="{9D227858-F29A-4C4C-81ED-FC33BCE9A4AB}" name="Discount" dataDxfId="1"/>
    <tableColumn id="11" xr3:uid="{1C700D51-52C9-49F1-B2DC-950AD1901475}" name="Profit"/>
    <tableColumn id="12" xr3:uid="{61897A79-02AF-42C7-9696-C390008F1EF1}" name="Payment_Mode"/>
    <tableColumn id="14" xr3:uid="{4B1E4E1A-AF87-41A2-B0EA-6E6500A3DD1F}" name="MONTH" dataDxfId="0">
      <calculatedColumnFormula>DATE(YEAR(B2),MONTH(B2),1)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8A05C-581A-4469-A80B-F69084DFFA62}">
  <dimension ref="A1:L501"/>
  <sheetViews>
    <sheetView workbookViewId="0">
      <selection activeCell="L1" sqref="L1"/>
    </sheetView>
  </sheetViews>
  <sheetFormatPr defaultRowHeight="14.4" x14ac:dyDescent="0.3"/>
  <cols>
    <col min="1" max="1" width="10.33203125" bestFit="1" customWidth="1"/>
    <col min="2" max="2" width="18.109375" bestFit="1" customWidth="1"/>
    <col min="3" max="3" width="14.6640625" bestFit="1" customWidth="1"/>
    <col min="4" max="4" width="10.6640625" bestFit="1" customWidth="1"/>
    <col min="5" max="5" width="14.5546875" bestFit="1" customWidth="1"/>
    <col min="6" max="6" width="11.109375" bestFit="1" customWidth="1"/>
    <col min="7" max="7" width="13.109375" bestFit="1" customWidth="1"/>
    <col min="8" max="8" width="10" bestFit="1" customWidth="1"/>
    <col min="9" max="10" width="8.33203125" bestFit="1" customWidth="1"/>
    <col min="11" max="11" width="9" bestFit="1" customWidth="1"/>
    <col min="12" max="12" width="14.109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s="2">
        <v>45658</v>
      </c>
      <c r="C2" t="s">
        <v>13</v>
      </c>
      <c r="D2" t="s">
        <v>14</v>
      </c>
      <c r="E2" t="s">
        <v>15</v>
      </c>
      <c r="F2" t="s">
        <v>16</v>
      </c>
      <c r="G2" t="s">
        <v>17</v>
      </c>
      <c r="H2">
        <v>53849.31</v>
      </c>
      <c r="I2">
        <v>5</v>
      </c>
      <c r="J2">
        <v>0.15</v>
      </c>
      <c r="K2">
        <v>10735.94</v>
      </c>
      <c r="L2" t="s">
        <v>18</v>
      </c>
    </row>
    <row r="3" spans="1:12" x14ac:dyDescent="0.3">
      <c r="A3" t="s">
        <v>19</v>
      </c>
      <c r="B3" s="2">
        <v>45658.729458917827</v>
      </c>
      <c r="C3" t="s">
        <v>20</v>
      </c>
      <c r="D3" t="s">
        <v>21</v>
      </c>
      <c r="E3" t="s">
        <v>22</v>
      </c>
      <c r="F3" t="s">
        <v>23</v>
      </c>
      <c r="G3" t="s">
        <v>24</v>
      </c>
      <c r="H3">
        <v>55638.06</v>
      </c>
      <c r="I3">
        <v>5</v>
      </c>
      <c r="J3">
        <v>0.1</v>
      </c>
      <c r="K3">
        <v>4680.1000000000004</v>
      </c>
      <c r="L3" t="s">
        <v>25</v>
      </c>
    </row>
    <row r="4" spans="1:12" x14ac:dyDescent="0.3">
      <c r="A4" t="s">
        <v>26</v>
      </c>
      <c r="B4" s="2">
        <v>45659.458917835669</v>
      </c>
      <c r="C4" t="s">
        <v>27</v>
      </c>
      <c r="D4" t="s">
        <v>28</v>
      </c>
      <c r="E4" t="s">
        <v>29</v>
      </c>
      <c r="F4" t="s">
        <v>30</v>
      </c>
      <c r="G4" t="s">
        <v>17</v>
      </c>
      <c r="H4">
        <v>103172.43</v>
      </c>
      <c r="I4">
        <v>4</v>
      </c>
      <c r="J4">
        <v>0.05</v>
      </c>
      <c r="K4">
        <v>19081.87</v>
      </c>
      <c r="L4" t="s">
        <v>31</v>
      </c>
    </row>
    <row r="5" spans="1:12" x14ac:dyDescent="0.3">
      <c r="A5" t="s">
        <v>32</v>
      </c>
      <c r="B5" s="2">
        <v>45660.188376753496</v>
      </c>
      <c r="C5" t="s">
        <v>33</v>
      </c>
      <c r="D5" t="s">
        <v>21</v>
      </c>
      <c r="E5" t="s">
        <v>22</v>
      </c>
      <c r="F5" t="s">
        <v>34</v>
      </c>
      <c r="G5" t="s">
        <v>35</v>
      </c>
      <c r="H5">
        <v>2488.3200000000002</v>
      </c>
      <c r="I5">
        <v>2</v>
      </c>
      <c r="J5">
        <v>0.2</v>
      </c>
      <c r="K5">
        <v>314.91000000000003</v>
      </c>
      <c r="L5" t="s">
        <v>25</v>
      </c>
    </row>
    <row r="6" spans="1:12" x14ac:dyDescent="0.3">
      <c r="A6" t="s">
        <v>36</v>
      </c>
      <c r="B6" s="2">
        <v>45660.917835671353</v>
      </c>
      <c r="C6" t="s">
        <v>37</v>
      </c>
      <c r="D6" t="s">
        <v>38</v>
      </c>
      <c r="E6" t="s">
        <v>39</v>
      </c>
      <c r="F6" t="s">
        <v>40</v>
      </c>
      <c r="G6" t="s">
        <v>17</v>
      </c>
      <c r="H6">
        <v>12903.29</v>
      </c>
      <c r="I6">
        <v>5</v>
      </c>
      <c r="J6">
        <v>0</v>
      </c>
      <c r="K6">
        <v>1200.1400000000001</v>
      </c>
      <c r="L6" t="s">
        <v>25</v>
      </c>
    </row>
    <row r="7" spans="1:12" x14ac:dyDescent="0.3">
      <c r="A7" t="s">
        <v>41</v>
      </c>
      <c r="B7" s="2">
        <v>45661.64729458918</v>
      </c>
      <c r="C7" t="s">
        <v>42</v>
      </c>
      <c r="D7" t="s">
        <v>43</v>
      </c>
      <c r="E7" t="s">
        <v>44</v>
      </c>
      <c r="F7" t="s">
        <v>45</v>
      </c>
      <c r="G7" t="s">
        <v>46</v>
      </c>
      <c r="H7">
        <v>213.7</v>
      </c>
      <c r="I7">
        <v>1</v>
      </c>
      <c r="J7">
        <v>0</v>
      </c>
      <c r="K7">
        <v>27.4</v>
      </c>
      <c r="L7" t="s">
        <v>25</v>
      </c>
    </row>
    <row r="8" spans="1:12" x14ac:dyDescent="0.3">
      <c r="A8" t="s">
        <v>47</v>
      </c>
      <c r="B8" s="2">
        <v>45662.376753507007</v>
      </c>
      <c r="C8" t="s">
        <v>48</v>
      </c>
      <c r="D8" t="s">
        <v>49</v>
      </c>
      <c r="E8" t="s">
        <v>50</v>
      </c>
      <c r="F8" t="s">
        <v>40</v>
      </c>
      <c r="G8" t="s">
        <v>17</v>
      </c>
      <c r="H8">
        <v>2087.17</v>
      </c>
      <c r="I8">
        <v>1</v>
      </c>
      <c r="J8">
        <v>0.1</v>
      </c>
      <c r="K8">
        <v>297.08999999999997</v>
      </c>
      <c r="L8" t="s">
        <v>51</v>
      </c>
    </row>
    <row r="9" spans="1:12" x14ac:dyDescent="0.3">
      <c r="A9" t="s">
        <v>52</v>
      </c>
      <c r="B9" s="2">
        <v>45663.106212424849</v>
      </c>
      <c r="C9" t="s">
        <v>53</v>
      </c>
      <c r="D9" t="s">
        <v>54</v>
      </c>
      <c r="E9" t="s">
        <v>55</v>
      </c>
      <c r="F9" t="s">
        <v>56</v>
      </c>
      <c r="G9" t="s">
        <v>35</v>
      </c>
      <c r="H9">
        <v>4363.8500000000004</v>
      </c>
      <c r="I9">
        <v>5</v>
      </c>
      <c r="J9">
        <v>0.15</v>
      </c>
      <c r="K9">
        <v>1169.07</v>
      </c>
      <c r="L9" t="s">
        <v>25</v>
      </c>
    </row>
    <row r="10" spans="1:12" x14ac:dyDescent="0.3">
      <c r="A10" t="s">
        <v>57</v>
      </c>
      <c r="B10" s="2">
        <v>45663.835671342677</v>
      </c>
      <c r="C10" t="s">
        <v>58</v>
      </c>
      <c r="D10" t="s">
        <v>38</v>
      </c>
      <c r="E10" t="s">
        <v>39</v>
      </c>
      <c r="F10" t="s">
        <v>23</v>
      </c>
      <c r="G10" t="s">
        <v>24</v>
      </c>
      <c r="H10">
        <v>55096.38</v>
      </c>
      <c r="I10">
        <v>5</v>
      </c>
      <c r="J10">
        <v>0.05</v>
      </c>
      <c r="K10">
        <v>13539.8</v>
      </c>
      <c r="L10" t="s">
        <v>25</v>
      </c>
    </row>
    <row r="11" spans="1:12" x14ac:dyDescent="0.3">
      <c r="A11" t="s">
        <v>59</v>
      </c>
      <c r="B11" s="2">
        <v>45664.565130260518</v>
      </c>
      <c r="C11" t="s">
        <v>60</v>
      </c>
      <c r="D11" t="s">
        <v>61</v>
      </c>
      <c r="E11" t="s">
        <v>62</v>
      </c>
      <c r="F11" t="s">
        <v>63</v>
      </c>
      <c r="G11" t="s">
        <v>17</v>
      </c>
      <c r="H11">
        <v>83427.92</v>
      </c>
      <c r="I11">
        <v>5</v>
      </c>
      <c r="J11">
        <v>0.15</v>
      </c>
      <c r="K11">
        <v>7918.15</v>
      </c>
      <c r="L11" t="s">
        <v>31</v>
      </c>
    </row>
    <row r="12" spans="1:12" x14ac:dyDescent="0.3">
      <c r="A12" t="s">
        <v>64</v>
      </c>
      <c r="B12" s="2">
        <v>45665.294589178353</v>
      </c>
      <c r="C12" t="s">
        <v>65</v>
      </c>
      <c r="D12" t="s">
        <v>61</v>
      </c>
      <c r="E12" t="s">
        <v>62</v>
      </c>
      <c r="F12" t="s">
        <v>23</v>
      </c>
      <c r="G12" t="s">
        <v>24</v>
      </c>
      <c r="H12">
        <v>29472.75</v>
      </c>
      <c r="I12">
        <v>3</v>
      </c>
      <c r="J12">
        <v>0.1</v>
      </c>
      <c r="K12">
        <v>7015.55</v>
      </c>
      <c r="L12" t="s">
        <v>51</v>
      </c>
    </row>
    <row r="13" spans="1:12" x14ac:dyDescent="0.3">
      <c r="A13" t="s">
        <v>66</v>
      </c>
      <c r="B13" s="2">
        <v>45666.024048096187</v>
      </c>
      <c r="C13" t="s">
        <v>67</v>
      </c>
      <c r="D13" t="s">
        <v>14</v>
      </c>
      <c r="E13" t="s">
        <v>15</v>
      </c>
      <c r="F13" t="s">
        <v>45</v>
      </c>
      <c r="G13" t="s">
        <v>46</v>
      </c>
      <c r="H13">
        <v>238.95</v>
      </c>
      <c r="I13">
        <v>1</v>
      </c>
      <c r="J13">
        <v>0.15</v>
      </c>
      <c r="K13">
        <v>40.6</v>
      </c>
      <c r="L13" t="s">
        <v>68</v>
      </c>
    </row>
    <row r="14" spans="1:12" x14ac:dyDescent="0.3">
      <c r="A14" t="s">
        <v>69</v>
      </c>
      <c r="B14" s="2">
        <v>45666.753507014029</v>
      </c>
      <c r="C14" t="s">
        <v>70</v>
      </c>
      <c r="D14" t="s">
        <v>71</v>
      </c>
      <c r="E14" t="s">
        <v>55</v>
      </c>
      <c r="F14" t="s">
        <v>63</v>
      </c>
      <c r="G14" t="s">
        <v>17</v>
      </c>
      <c r="H14">
        <v>63851.99</v>
      </c>
      <c r="I14">
        <v>3</v>
      </c>
      <c r="J14">
        <v>0.05</v>
      </c>
      <c r="K14">
        <v>17517.310000000001</v>
      </c>
      <c r="L14" t="s">
        <v>68</v>
      </c>
    </row>
    <row r="15" spans="1:12" x14ac:dyDescent="0.3">
      <c r="A15" t="s">
        <v>72</v>
      </c>
      <c r="B15" s="2">
        <v>45667.482965931857</v>
      </c>
      <c r="C15" t="s">
        <v>33</v>
      </c>
      <c r="D15" t="s">
        <v>73</v>
      </c>
      <c r="E15" t="s">
        <v>74</v>
      </c>
      <c r="F15" t="s">
        <v>75</v>
      </c>
      <c r="G15" t="s">
        <v>24</v>
      </c>
      <c r="H15">
        <v>25824.93</v>
      </c>
      <c r="I15">
        <v>3</v>
      </c>
      <c r="J15">
        <v>0.05</v>
      </c>
      <c r="K15">
        <v>2197.2800000000002</v>
      </c>
      <c r="L15" t="s">
        <v>31</v>
      </c>
    </row>
    <row r="16" spans="1:12" x14ac:dyDescent="0.3">
      <c r="A16" t="s">
        <v>76</v>
      </c>
      <c r="B16" s="2">
        <v>45668.212424849698</v>
      </c>
      <c r="C16" t="s">
        <v>77</v>
      </c>
      <c r="D16" t="s">
        <v>54</v>
      </c>
      <c r="E16" t="s">
        <v>55</v>
      </c>
      <c r="F16" t="s">
        <v>16</v>
      </c>
      <c r="G16" t="s">
        <v>17</v>
      </c>
      <c r="H16">
        <v>61498.38</v>
      </c>
      <c r="I16">
        <v>5</v>
      </c>
      <c r="J16">
        <v>0.05</v>
      </c>
      <c r="K16">
        <v>14212.9</v>
      </c>
      <c r="L16" t="s">
        <v>18</v>
      </c>
    </row>
    <row r="17" spans="1:12" x14ac:dyDescent="0.3">
      <c r="A17" t="s">
        <v>78</v>
      </c>
      <c r="B17" s="2">
        <v>45668.941883767533</v>
      </c>
      <c r="C17" t="s">
        <v>79</v>
      </c>
      <c r="D17" t="s">
        <v>71</v>
      </c>
      <c r="E17" t="s">
        <v>55</v>
      </c>
      <c r="F17" t="s">
        <v>56</v>
      </c>
      <c r="G17" t="s">
        <v>35</v>
      </c>
      <c r="H17">
        <v>3454.46</v>
      </c>
      <c r="I17">
        <v>4</v>
      </c>
      <c r="J17">
        <v>0.15</v>
      </c>
      <c r="K17">
        <v>713.97</v>
      </c>
      <c r="L17" t="s">
        <v>18</v>
      </c>
    </row>
    <row r="18" spans="1:12" x14ac:dyDescent="0.3">
      <c r="A18" t="s">
        <v>80</v>
      </c>
      <c r="B18" s="2">
        <v>45669.671342685368</v>
      </c>
      <c r="C18" t="s">
        <v>81</v>
      </c>
      <c r="D18" t="s">
        <v>73</v>
      </c>
      <c r="E18" t="s">
        <v>74</v>
      </c>
      <c r="F18" t="s">
        <v>75</v>
      </c>
      <c r="G18" t="s">
        <v>24</v>
      </c>
      <c r="H18">
        <v>27558.42</v>
      </c>
      <c r="I18">
        <v>4</v>
      </c>
      <c r="J18">
        <v>0.2</v>
      </c>
      <c r="K18">
        <v>3704.58</v>
      </c>
      <c r="L18" t="s">
        <v>25</v>
      </c>
    </row>
    <row r="19" spans="1:12" x14ac:dyDescent="0.3">
      <c r="A19" t="s">
        <v>82</v>
      </c>
      <c r="B19" s="2">
        <v>45670.400801603209</v>
      </c>
      <c r="C19" t="s">
        <v>83</v>
      </c>
      <c r="D19" t="s">
        <v>38</v>
      </c>
      <c r="E19" t="s">
        <v>39</v>
      </c>
      <c r="F19" t="s">
        <v>40</v>
      </c>
      <c r="G19" t="s">
        <v>17</v>
      </c>
      <c r="H19">
        <v>7314.17</v>
      </c>
      <c r="I19">
        <v>3</v>
      </c>
      <c r="J19">
        <v>0</v>
      </c>
      <c r="K19">
        <v>760.48</v>
      </c>
      <c r="L19" t="s">
        <v>18</v>
      </c>
    </row>
    <row r="20" spans="1:12" x14ac:dyDescent="0.3">
      <c r="A20" t="s">
        <v>84</v>
      </c>
      <c r="B20" s="2">
        <v>45671.130260521037</v>
      </c>
      <c r="C20" t="s">
        <v>42</v>
      </c>
      <c r="D20" t="s">
        <v>28</v>
      </c>
      <c r="E20" t="s">
        <v>29</v>
      </c>
      <c r="F20" t="s">
        <v>23</v>
      </c>
      <c r="G20" t="s">
        <v>24</v>
      </c>
      <c r="H20">
        <v>11653.81</v>
      </c>
      <c r="I20">
        <v>1</v>
      </c>
      <c r="J20">
        <v>0</v>
      </c>
      <c r="K20">
        <v>1524.12</v>
      </c>
      <c r="L20" t="s">
        <v>51</v>
      </c>
    </row>
    <row r="21" spans="1:12" x14ac:dyDescent="0.3">
      <c r="A21" t="s">
        <v>85</v>
      </c>
      <c r="B21" s="2">
        <v>45671.859719438879</v>
      </c>
      <c r="C21" t="s">
        <v>86</v>
      </c>
      <c r="D21" t="s">
        <v>71</v>
      </c>
      <c r="E21" t="s">
        <v>55</v>
      </c>
      <c r="F21" t="s">
        <v>87</v>
      </c>
      <c r="G21" t="s">
        <v>17</v>
      </c>
      <c r="H21">
        <v>257249.34</v>
      </c>
      <c r="I21">
        <v>5</v>
      </c>
      <c r="J21">
        <v>0</v>
      </c>
      <c r="K21">
        <v>51941.95</v>
      </c>
      <c r="L21" t="s">
        <v>68</v>
      </c>
    </row>
    <row r="22" spans="1:12" x14ac:dyDescent="0.3">
      <c r="A22" t="s">
        <v>88</v>
      </c>
      <c r="B22" s="2">
        <v>45672.589178356713</v>
      </c>
      <c r="C22" t="s">
        <v>89</v>
      </c>
      <c r="D22" t="s">
        <v>90</v>
      </c>
      <c r="E22" t="s">
        <v>44</v>
      </c>
      <c r="F22" t="s">
        <v>87</v>
      </c>
      <c r="G22" t="s">
        <v>17</v>
      </c>
      <c r="H22">
        <v>156550.43</v>
      </c>
      <c r="I22">
        <v>3</v>
      </c>
      <c r="J22">
        <v>0.1</v>
      </c>
      <c r="K22">
        <v>26544.16</v>
      </c>
      <c r="L22" t="s">
        <v>25</v>
      </c>
    </row>
    <row r="23" spans="1:12" x14ac:dyDescent="0.3">
      <c r="A23" t="s">
        <v>91</v>
      </c>
      <c r="B23" s="2">
        <v>45673.318637274548</v>
      </c>
      <c r="C23" t="s">
        <v>86</v>
      </c>
      <c r="D23" t="s">
        <v>14</v>
      </c>
      <c r="E23" t="s">
        <v>15</v>
      </c>
      <c r="F23" t="s">
        <v>34</v>
      </c>
      <c r="G23" t="s">
        <v>35</v>
      </c>
      <c r="H23">
        <v>4234.96</v>
      </c>
      <c r="I23">
        <v>3</v>
      </c>
      <c r="J23">
        <v>0.15</v>
      </c>
      <c r="K23">
        <v>737.14</v>
      </c>
      <c r="L23" t="s">
        <v>18</v>
      </c>
    </row>
    <row r="24" spans="1:12" x14ac:dyDescent="0.3">
      <c r="A24" t="s">
        <v>92</v>
      </c>
      <c r="B24" s="2">
        <v>45674.048096192382</v>
      </c>
      <c r="C24" t="s">
        <v>93</v>
      </c>
      <c r="D24" t="s">
        <v>90</v>
      </c>
      <c r="E24" t="s">
        <v>44</v>
      </c>
      <c r="F24" t="s">
        <v>94</v>
      </c>
      <c r="G24" t="s">
        <v>46</v>
      </c>
      <c r="H24">
        <v>54132.82</v>
      </c>
      <c r="I24">
        <v>4</v>
      </c>
      <c r="J24">
        <v>0.1</v>
      </c>
      <c r="K24">
        <v>13623.7</v>
      </c>
      <c r="L24" t="s">
        <v>18</v>
      </c>
    </row>
    <row r="25" spans="1:12" x14ac:dyDescent="0.3">
      <c r="A25" t="s">
        <v>95</v>
      </c>
      <c r="B25" s="2">
        <v>45674.777555110217</v>
      </c>
      <c r="C25" t="s">
        <v>96</v>
      </c>
      <c r="D25" t="s">
        <v>73</v>
      </c>
      <c r="E25" t="s">
        <v>74</v>
      </c>
      <c r="F25" t="s">
        <v>40</v>
      </c>
      <c r="G25" t="s">
        <v>17</v>
      </c>
      <c r="H25">
        <v>7159.5</v>
      </c>
      <c r="I25">
        <v>3</v>
      </c>
      <c r="J25">
        <v>0</v>
      </c>
      <c r="K25">
        <v>1919.5</v>
      </c>
      <c r="L25" t="s">
        <v>51</v>
      </c>
    </row>
    <row r="26" spans="1:12" x14ac:dyDescent="0.3">
      <c r="A26" t="s">
        <v>97</v>
      </c>
      <c r="B26" s="2">
        <v>45675.507014028059</v>
      </c>
      <c r="C26" t="s">
        <v>13</v>
      </c>
      <c r="D26" t="s">
        <v>49</v>
      </c>
      <c r="E26" t="s">
        <v>50</v>
      </c>
      <c r="F26" t="s">
        <v>87</v>
      </c>
      <c r="G26" t="s">
        <v>17</v>
      </c>
      <c r="H26">
        <v>157132.78</v>
      </c>
      <c r="I26">
        <v>3</v>
      </c>
      <c r="J26">
        <v>0</v>
      </c>
      <c r="K26">
        <v>41630.559999999998</v>
      </c>
      <c r="L26" t="s">
        <v>25</v>
      </c>
    </row>
    <row r="27" spans="1:12" x14ac:dyDescent="0.3">
      <c r="A27" t="s">
        <v>98</v>
      </c>
      <c r="B27" s="2">
        <v>45676.236472945893</v>
      </c>
      <c r="D27" t="s">
        <v>73</v>
      </c>
      <c r="E27" t="s">
        <v>74</v>
      </c>
      <c r="F27" t="s">
        <v>94</v>
      </c>
      <c r="G27" t="s">
        <v>46</v>
      </c>
      <c r="H27">
        <v>60533.71</v>
      </c>
      <c r="I27">
        <v>4</v>
      </c>
      <c r="J27">
        <v>0</v>
      </c>
      <c r="K27">
        <v>5969.87</v>
      </c>
      <c r="L27" t="s">
        <v>68</v>
      </c>
    </row>
    <row r="28" spans="1:12" x14ac:dyDescent="0.3">
      <c r="A28" t="s">
        <v>99</v>
      </c>
      <c r="B28" s="2">
        <v>45676.965931863728</v>
      </c>
      <c r="C28" t="s">
        <v>53</v>
      </c>
      <c r="D28" t="s">
        <v>21</v>
      </c>
      <c r="E28" t="s">
        <v>22</v>
      </c>
      <c r="F28" t="s">
        <v>75</v>
      </c>
      <c r="G28" t="s">
        <v>24</v>
      </c>
      <c r="H28">
        <v>7562.66</v>
      </c>
      <c r="I28">
        <v>1</v>
      </c>
      <c r="J28">
        <v>0.1</v>
      </c>
      <c r="K28">
        <v>1885.61</v>
      </c>
      <c r="L28" t="s">
        <v>31</v>
      </c>
    </row>
    <row r="29" spans="1:12" x14ac:dyDescent="0.3">
      <c r="A29" t="s">
        <v>100</v>
      </c>
      <c r="B29" s="2">
        <v>45677.695390781562</v>
      </c>
      <c r="C29" t="s">
        <v>101</v>
      </c>
      <c r="D29" t="s">
        <v>49</v>
      </c>
      <c r="E29" t="s">
        <v>50</v>
      </c>
      <c r="F29" t="s">
        <v>16</v>
      </c>
      <c r="G29" t="s">
        <v>17</v>
      </c>
      <c r="H29">
        <v>40365.65</v>
      </c>
      <c r="I29">
        <v>3</v>
      </c>
      <c r="J29">
        <v>0.15</v>
      </c>
      <c r="K29">
        <v>8630.08</v>
      </c>
      <c r="L29" t="s">
        <v>18</v>
      </c>
    </row>
    <row r="30" spans="1:12" x14ac:dyDescent="0.3">
      <c r="A30" t="s">
        <v>102</v>
      </c>
      <c r="B30" s="2">
        <v>45678.424849699397</v>
      </c>
      <c r="C30" t="s">
        <v>103</v>
      </c>
      <c r="D30" t="s">
        <v>38</v>
      </c>
      <c r="E30" t="s">
        <v>39</v>
      </c>
      <c r="F30" t="s">
        <v>30</v>
      </c>
      <c r="G30" t="s">
        <v>17</v>
      </c>
      <c r="H30">
        <v>56754</v>
      </c>
      <c r="I30">
        <v>2</v>
      </c>
      <c r="J30">
        <v>0.05</v>
      </c>
      <c r="K30">
        <v>15828.21</v>
      </c>
      <c r="L30" t="s">
        <v>25</v>
      </c>
    </row>
    <row r="31" spans="1:12" x14ac:dyDescent="0.3">
      <c r="A31" t="s">
        <v>104</v>
      </c>
      <c r="B31" s="2">
        <v>45679.154308617231</v>
      </c>
      <c r="C31" t="s">
        <v>105</v>
      </c>
      <c r="D31" t="s">
        <v>90</v>
      </c>
      <c r="E31" t="s">
        <v>44</v>
      </c>
      <c r="F31" t="s">
        <v>106</v>
      </c>
      <c r="G31" t="s">
        <v>35</v>
      </c>
      <c r="H31">
        <v>6220.41</v>
      </c>
      <c r="I31">
        <v>4</v>
      </c>
      <c r="J31">
        <v>0.1</v>
      </c>
      <c r="K31">
        <v>1394.54</v>
      </c>
      <c r="L31" t="s">
        <v>68</v>
      </c>
    </row>
    <row r="32" spans="1:12" x14ac:dyDescent="0.3">
      <c r="A32" t="s">
        <v>107</v>
      </c>
      <c r="B32" s="2">
        <v>45679.883767535073</v>
      </c>
      <c r="C32" t="s">
        <v>108</v>
      </c>
      <c r="D32" t="s">
        <v>71</v>
      </c>
      <c r="E32" t="s">
        <v>55</v>
      </c>
      <c r="F32" t="s">
        <v>56</v>
      </c>
      <c r="G32" t="s">
        <v>35</v>
      </c>
      <c r="H32">
        <v>2514.52</v>
      </c>
      <c r="I32">
        <v>3</v>
      </c>
      <c r="J32">
        <v>0.05</v>
      </c>
      <c r="K32">
        <v>525.59</v>
      </c>
      <c r="L32" t="s">
        <v>25</v>
      </c>
    </row>
    <row r="33" spans="1:12" x14ac:dyDescent="0.3">
      <c r="A33" t="s">
        <v>109</v>
      </c>
      <c r="B33" s="2">
        <v>45680.613226452908</v>
      </c>
      <c r="C33" t="s">
        <v>110</v>
      </c>
      <c r="D33" t="s">
        <v>71</v>
      </c>
      <c r="E33" t="s">
        <v>55</v>
      </c>
      <c r="F33" t="s">
        <v>16</v>
      </c>
      <c r="G33" t="s">
        <v>17</v>
      </c>
      <c r="H33">
        <v>45383.78</v>
      </c>
      <c r="I33">
        <v>3</v>
      </c>
      <c r="J33">
        <v>0</v>
      </c>
      <c r="K33">
        <v>12657.99</v>
      </c>
      <c r="L33" t="s">
        <v>18</v>
      </c>
    </row>
    <row r="34" spans="1:12" x14ac:dyDescent="0.3">
      <c r="A34" t="s">
        <v>111</v>
      </c>
      <c r="B34" s="2">
        <v>45681.342685370742</v>
      </c>
      <c r="C34" t="s">
        <v>70</v>
      </c>
      <c r="D34" t="s">
        <v>61</v>
      </c>
      <c r="E34" t="s">
        <v>62</v>
      </c>
      <c r="F34" t="s">
        <v>94</v>
      </c>
      <c r="G34" t="s">
        <v>46</v>
      </c>
      <c r="H34">
        <v>80405.31</v>
      </c>
      <c r="I34">
        <v>5</v>
      </c>
      <c r="J34">
        <v>0.05</v>
      </c>
      <c r="K34">
        <v>21977.26</v>
      </c>
      <c r="L34" t="s">
        <v>25</v>
      </c>
    </row>
    <row r="35" spans="1:12" x14ac:dyDescent="0.3">
      <c r="A35" t="s">
        <v>112</v>
      </c>
      <c r="B35" s="2">
        <v>45682.072144288577</v>
      </c>
      <c r="C35" t="s">
        <v>113</v>
      </c>
      <c r="D35" t="s">
        <v>114</v>
      </c>
      <c r="E35" t="s">
        <v>114</v>
      </c>
      <c r="F35" t="s">
        <v>75</v>
      </c>
      <c r="G35" t="s">
        <v>24</v>
      </c>
      <c r="H35">
        <v>8505.69</v>
      </c>
      <c r="I35">
        <v>1</v>
      </c>
      <c r="J35">
        <v>0</v>
      </c>
      <c r="K35">
        <v>1627.65</v>
      </c>
      <c r="L35" t="s">
        <v>18</v>
      </c>
    </row>
    <row r="36" spans="1:12" x14ac:dyDescent="0.3">
      <c r="A36" t="s">
        <v>115</v>
      </c>
      <c r="B36" s="2">
        <v>45682.801603206412</v>
      </c>
      <c r="C36" t="s">
        <v>116</v>
      </c>
      <c r="D36" t="s">
        <v>49</v>
      </c>
      <c r="E36" t="s">
        <v>50</v>
      </c>
      <c r="F36" t="s">
        <v>23</v>
      </c>
      <c r="G36" t="s">
        <v>24</v>
      </c>
      <c r="H36">
        <v>19862.439999999999</v>
      </c>
      <c r="I36">
        <v>2</v>
      </c>
      <c r="J36">
        <v>0.2</v>
      </c>
      <c r="K36">
        <v>2145.48</v>
      </c>
      <c r="L36" t="s">
        <v>51</v>
      </c>
    </row>
    <row r="37" spans="1:12" x14ac:dyDescent="0.3">
      <c r="A37" t="s">
        <v>117</v>
      </c>
      <c r="B37" s="2">
        <v>45683.531062124253</v>
      </c>
      <c r="C37" t="s">
        <v>118</v>
      </c>
      <c r="D37" t="s">
        <v>73</v>
      </c>
      <c r="E37" t="s">
        <v>74</v>
      </c>
      <c r="F37" t="s">
        <v>87</v>
      </c>
      <c r="G37" t="s">
        <v>17</v>
      </c>
      <c r="H37">
        <v>44103.82</v>
      </c>
      <c r="I37">
        <v>1</v>
      </c>
      <c r="J37">
        <v>0.1</v>
      </c>
      <c r="K37">
        <v>8404.6</v>
      </c>
      <c r="L37" t="s">
        <v>51</v>
      </c>
    </row>
    <row r="38" spans="1:12" x14ac:dyDescent="0.3">
      <c r="A38" t="s">
        <v>119</v>
      </c>
      <c r="B38" s="2">
        <v>45684.260521042081</v>
      </c>
      <c r="C38" t="s">
        <v>120</v>
      </c>
      <c r="D38" t="s">
        <v>71</v>
      </c>
      <c r="E38" t="s">
        <v>55</v>
      </c>
      <c r="F38" t="s">
        <v>30</v>
      </c>
      <c r="G38" t="s">
        <v>17</v>
      </c>
      <c r="H38">
        <v>31003.62</v>
      </c>
      <c r="I38">
        <v>1</v>
      </c>
      <c r="J38">
        <v>0</v>
      </c>
      <c r="K38">
        <v>2512.44</v>
      </c>
      <c r="L38" t="s">
        <v>31</v>
      </c>
    </row>
    <row r="39" spans="1:12" x14ac:dyDescent="0.3">
      <c r="A39" t="s">
        <v>121</v>
      </c>
      <c r="B39" s="2">
        <v>45684.989979959922</v>
      </c>
      <c r="C39" t="s">
        <v>122</v>
      </c>
      <c r="D39" t="s">
        <v>49</v>
      </c>
      <c r="E39" t="s">
        <v>50</v>
      </c>
      <c r="F39" t="s">
        <v>63</v>
      </c>
      <c r="G39" t="s">
        <v>17</v>
      </c>
      <c r="H39">
        <v>59652.68</v>
      </c>
      <c r="I39">
        <v>3</v>
      </c>
      <c r="J39">
        <v>0.05</v>
      </c>
      <c r="K39">
        <v>5893.47</v>
      </c>
      <c r="L39" t="s">
        <v>18</v>
      </c>
    </row>
    <row r="40" spans="1:12" x14ac:dyDescent="0.3">
      <c r="A40" t="s">
        <v>123</v>
      </c>
      <c r="B40" s="2">
        <v>45685.719438877757</v>
      </c>
      <c r="C40" t="s">
        <v>124</v>
      </c>
      <c r="D40" t="s">
        <v>38</v>
      </c>
      <c r="E40" t="s">
        <v>39</v>
      </c>
      <c r="F40" t="s">
        <v>45</v>
      </c>
      <c r="G40" t="s">
        <v>46</v>
      </c>
      <c r="H40">
        <v>1170.53</v>
      </c>
      <c r="I40">
        <v>5</v>
      </c>
      <c r="J40">
        <v>0.15</v>
      </c>
      <c r="K40">
        <v>152.22999999999999</v>
      </c>
      <c r="L40" t="s">
        <v>18</v>
      </c>
    </row>
    <row r="41" spans="1:12" x14ac:dyDescent="0.3">
      <c r="A41" t="s">
        <v>125</v>
      </c>
      <c r="B41" s="2">
        <v>45686.448897795592</v>
      </c>
      <c r="C41" t="s">
        <v>126</v>
      </c>
      <c r="D41" t="s">
        <v>61</v>
      </c>
      <c r="E41" t="s">
        <v>62</v>
      </c>
      <c r="F41" t="s">
        <v>106</v>
      </c>
      <c r="G41" t="s">
        <v>35</v>
      </c>
      <c r="H41">
        <v>1878.2</v>
      </c>
      <c r="I41">
        <v>1</v>
      </c>
      <c r="J41">
        <v>0.05</v>
      </c>
      <c r="K41">
        <v>512.84</v>
      </c>
      <c r="L41" t="s">
        <v>68</v>
      </c>
    </row>
    <row r="42" spans="1:12" x14ac:dyDescent="0.3">
      <c r="A42" t="s">
        <v>127</v>
      </c>
      <c r="B42" s="2">
        <v>45687.178356713433</v>
      </c>
      <c r="C42" t="s">
        <v>70</v>
      </c>
      <c r="D42" t="s">
        <v>54</v>
      </c>
      <c r="E42" t="s">
        <v>55</v>
      </c>
      <c r="F42" t="s">
        <v>40</v>
      </c>
      <c r="G42" t="s">
        <v>17</v>
      </c>
      <c r="H42">
        <v>7118.59</v>
      </c>
      <c r="I42">
        <v>4</v>
      </c>
      <c r="J42">
        <v>0.2</v>
      </c>
      <c r="K42">
        <v>1586.87</v>
      </c>
      <c r="L42" t="s">
        <v>18</v>
      </c>
    </row>
    <row r="43" spans="1:12" x14ac:dyDescent="0.3">
      <c r="A43" t="s">
        <v>128</v>
      </c>
      <c r="B43" s="2">
        <v>45687.907815631261</v>
      </c>
      <c r="C43" t="s">
        <v>129</v>
      </c>
      <c r="D43" t="s">
        <v>61</v>
      </c>
      <c r="E43" t="s">
        <v>62</v>
      </c>
      <c r="F43" t="s">
        <v>45</v>
      </c>
      <c r="G43" t="s">
        <v>46</v>
      </c>
      <c r="H43">
        <v>343.04</v>
      </c>
      <c r="I43">
        <v>2</v>
      </c>
      <c r="J43">
        <v>0.2</v>
      </c>
      <c r="K43">
        <v>84.8</v>
      </c>
      <c r="L43" t="s">
        <v>31</v>
      </c>
    </row>
    <row r="44" spans="1:12" x14ac:dyDescent="0.3">
      <c r="A44" t="s">
        <v>130</v>
      </c>
      <c r="B44" s="2">
        <v>45688.637274549103</v>
      </c>
      <c r="C44" t="s">
        <v>131</v>
      </c>
      <c r="D44" t="s">
        <v>73</v>
      </c>
      <c r="E44" t="s">
        <v>74</v>
      </c>
      <c r="F44" t="s">
        <v>45</v>
      </c>
      <c r="G44" t="s">
        <v>46</v>
      </c>
      <c r="H44">
        <v>245.68</v>
      </c>
      <c r="I44">
        <v>1</v>
      </c>
      <c r="J44">
        <v>0</v>
      </c>
      <c r="K44">
        <v>24.27</v>
      </c>
      <c r="L44" t="s">
        <v>68</v>
      </c>
    </row>
    <row r="45" spans="1:12" x14ac:dyDescent="0.3">
      <c r="A45" t="s">
        <v>132</v>
      </c>
      <c r="B45" s="2">
        <v>45689.36673346693</v>
      </c>
      <c r="C45" t="s">
        <v>133</v>
      </c>
      <c r="D45" t="s">
        <v>114</v>
      </c>
      <c r="E45" t="s">
        <v>114</v>
      </c>
      <c r="F45" t="s">
        <v>87</v>
      </c>
      <c r="G45" t="s">
        <v>17</v>
      </c>
      <c r="H45">
        <v>265163.84999999998</v>
      </c>
      <c r="I45">
        <v>5</v>
      </c>
      <c r="J45">
        <v>0.1</v>
      </c>
      <c r="K45">
        <v>53654.35</v>
      </c>
      <c r="L45" t="s">
        <v>25</v>
      </c>
    </row>
    <row r="46" spans="1:12" x14ac:dyDescent="0.3">
      <c r="A46" t="s">
        <v>134</v>
      </c>
      <c r="B46" s="2">
        <v>45690.096192384772</v>
      </c>
      <c r="C46" t="s">
        <v>135</v>
      </c>
      <c r="D46" t="s">
        <v>73</v>
      </c>
      <c r="E46" t="s">
        <v>74</v>
      </c>
      <c r="F46" t="s">
        <v>40</v>
      </c>
      <c r="G46" t="s">
        <v>17</v>
      </c>
      <c r="H46">
        <v>10521.84</v>
      </c>
      <c r="I46">
        <v>5</v>
      </c>
      <c r="J46">
        <v>0.05</v>
      </c>
      <c r="K46">
        <v>1034.93</v>
      </c>
      <c r="L46" t="s">
        <v>68</v>
      </c>
    </row>
    <row r="47" spans="1:12" x14ac:dyDescent="0.3">
      <c r="A47" t="s">
        <v>136</v>
      </c>
      <c r="B47" s="2">
        <v>45690.825651302614</v>
      </c>
      <c r="C47" t="s">
        <v>137</v>
      </c>
      <c r="D47" t="s">
        <v>61</v>
      </c>
      <c r="E47" t="s">
        <v>62</v>
      </c>
      <c r="F47" t="s">
        <v>45</v>
      </c>
      <c r="G47" t="s">
        <v>46</v>
      </c>
      <c r="H47">
        <v>473.8</v>
      </c>
      <c r="I47">
        <v>2</v>
      </c>
      <c r="J47">
        <v>0.05</v>
      </c>
      <c r="K47">
        <v>54.32</v>
      </c>
      <c r="L47" t="s">
        <v>51</v>
      </c>
    </row>
    <row r="48" spans="1:12" x14ac:dyDescent="0.3">
      <c r="A48" t="s">
        <v>138</v>
      </c>
      <c r="B48" s="2">
        <v>45691.555110220441</v>
      </c>
      <c r="C48" t="s">
        <v>139</v>
      </c>
      <c r="D48" t="s">
        <v>73</v>
      </c>
      <c r="E48" t="s">
        <v>74</v>
      </c>
      <c r="F48" t="s">
        <v>56</v>
      </c>
      <c r="G48" t="s">
        <v>35</v>
      </c>
      <c r="H48">
        <v>4770.92</v>
      </c>
      <c r="I48">
        <v>5</v>
      </c>
      <c r="J48">
        <v>0.05</v>
      </c>
      <c r="K48">
        <v>396.28</v>
      </c>
      <c r="L48" t="s">
        <v>31</v>
      </c>
    </row>
    <row r="49" spans="1:12" x14ac:dyDescent="0.3">
      <c r="A49" t="s">
        <v>140</v>
      </c>
      <c r="B49" s="2">
        <v>45692.284569138283</v>
      </c>
      <c r="C49" t="s">
        <v>135</v>
      </c>
      <c r="D49" t="s">
        <v>49</v>
      </c>
      <c r="E49" t="s">
        <v>50</v>
      </c>
      <c r="F49" t="s">
        <v>106</v>
      </c>
      <c r="G49" t="s">
        <v>35</v>
      </c>
      <c r="H49">
        <v>8089.92</v>
      </c>
      <c r="I49">
        <v>5</v>
      </c>
      <c r="J49">
        <v>0</v>
      </c>
      <c r="K49">
        <v>1686.62</v>
      </c>
      <c r="L49" t="s">
        <v>25</v>
      </c>
    </row>
    <row r="50" spans="1:12" x14ac:dyDescent="0.3">
      <c r="A50" t="s">
        <v>141</v>
      </c>
      <c r="B50" s="2">
        <v>45693.01402805611</v>
      </c>
      <c r="C50" t="s">
        <v>142</v>
      </c>
      <c r="D50" t="s">
        <v>43</v>
      </c>
      <c r="E50" t="s">
        <v>44</v>
      </c>
      <c r="F50" t="s">
        <v>40</v>
      </c>
      <c r="G50" t="s">
        <v>17</v>
      </c>
      <c r="H50">
        <v>7552.68</v>
      </c>
      <c r="I50">
        <v>4</v>
      </c>
      <c r="J50">
        <v>0.15</v>
      </c>
      <c r="K50">
        <v>1843.82</v>
      </c>
      <c r="L50" t="s">
        <v>31</v>
      </c>
    </row>
    <row r="51" spans="1:12" x14ac:dyDescent="0.3">
      <c r="A51" t="s">
        <v>143</v>
      </c>
      <c r="B51" s="2">
        <v>45693.743486973937</v>
      </c>
      <c r="C51" t="s">
        <v>144</v>
      </c>
      <c r="D51" t="s">
        <v>90</v>
      </c>
      <c r="E51" t="s">
        <v>44</v>
      </c>
      <c r="F51" t="s">
        <v>23</v>
      </c>
      <c r="G51" t="s">
        <v>24</v>
      </c>
      <c r="H51">
        <v>20793.72</v>
      </c>
      <c r="I51">
        <v>2</v>
      </c>
      <c r="J51">
        <v>0.05</v>
      </c>
      <c r="K51">
        <v>2555.92</v>
      </c>
      <c r="L51" t="s">
        <v>51</v>
      </c>
    </row>
    <row r="52" spans="1:12" x14ac:dyDescent="0.3">
      <c r="A52" t="s">
        <v>145</v>
      </c>
      <c r="B52" s="2">
        <v>45694.472945891779</v>
      </c>
      <c r="C52" t="s">
        <v>144</v>
      </c>
      <c r="D52" t="s">
        <v>71</v>
      </c>
      <c r="E52" t="s">
        <v>55</v>
      </c>
      <c r="F52" t="s">
        <v>75</v>
      </c>
      <c r="G52" t="s">
        <v>24</v>
      </c>
      <c r="H52">
        <v>8949.43</v>
      </c>
      <c r="I52">
        <v>1</v>
      </c>
      <c r="J52">
        <v>0.05</v>
      </c>
      <c r="K52">
        <v>1935.97</v>
      </c>
      <c r="L52" t="s">
        <v>31</v>
      </c>
    </row>
    <row r="53" spans="1:12" x14ac:dyDescent="0.3">
      <c r="A53" t="s">
        <v>146</v>
      </c>
      <c r="B53" s="2">
        <v>45695.202404809621</v>
      </c>
      <c r="C53" t="s">
        <v>37</v>
      </c>
      <c r="D53" t="s">
        <v>14</v>
      </c>
      <c r="E53" t="s">
        <v>15</v>
      </c>
      <c r="F53" t="s">
        <v>16</v>
      </c>
      <c r="G53" t="s">
        <v>17</v>
      </c>
      <c r="H53">
        <v>26687.33</v>
      </c>
      <c r="I53">
        <v>2</v>
      </c>
      <c r="J53">
        <v>0.1</v>
      </c>
      <c r="K53">
        <v>6818.46</v>
      </c>
      <c r="L53" t="s">
        <v>68</v>
      </c>
    </row>
    <row r="54" spans="1:12" x14ac:dyDescent="0.3">
      <c r="A54" t="s">
        <v>147</v>
      </c>
      <c r="B54" s="2">
        <v>45695.931863727463</v>
      </c>
      <c r="C54" t="s">
        <v>148</v>
      </c>
      <c r="D54" t="s">
        <v>38</v>
      </c>
      <c r="E54" t="s">
        <v>39</v>
      </c>
      <c r="F54" t="s">
        <v>16</v>
      </c>
      <c r="G54" t="s">
        <v>17</v>
      </c>
      <c r="H54">
        <v>24621.439999999999</v>
      </c>
      <c r="I54">
        <v>2</v>
      </c>
      <c r="J54">
        <v>0.1</v>
      </c>
      <c r="K54">
        <v>4805.7299999999996</v>
      </c>
      <c r="L54" t="s">
        <v>51</v>
      </c>
    </row>
    <row r="55" spans="1:12" x14ac:dyDescent="0.3">
      <c r="A55" t="s">
        <v>149</v>
      </c>
      <c r="B55" s="2">
        <v>45696.66132264529</v>
      </c>
      <c r="C55" t="s">
        <v>101</v>
      </c>
      <c r="D55" t="s">
        <v>90</v>
      </c>
      <c r="E55" t="s">
        <v>44</v>
      </c>
      <c r="F55" t="s">
        <v>75</v>
      </c>
      <c r="G55" t="s">
        <v>24</v>
      </c>
      <c r="H55">
        <v>37323.949999999997</v>
      </c>
      <c r="I55">
        <v>5</v>
      </c>
      <c r="J55">
        <v>0.1</v>
      </c>
      <c r="K55">
        <v>8509.18</v>
      </c>
      <c r="L55" t="s">
        <v>31</v>
      </c>
    </row>
    <row r="56" spans="1:12" x14ac:dyDescent="0.3">
      <c r="A56" t="s">
        <v>150</v>
      </c>
      <c r="B56" s="2">
        <v>45697.390781563117</v>
      </c>
      <c r="C56" t="s">
        <v>27</v>
      </c>
      <c r="D56" t="s">
        <v>90</v>
      </c>
      <c r="E56" t="s">
        <v>44</v>
      </c>
      <c r="F56" t="s">
        <v>16</v>
      </c>
      <c r="G56" t="s">
        <v>17</v>
      </c>
      <c r="H56">
        <v>11257.58</v>
      </c>
      <c r="I56">
        <v>1</v>
      </c>
      <c r="J56">
        <v>0.15</v>
      </c>
      <c r="K56">
        <v>1776.9</v>
      </c>
      <c r="L56" t="s">
        <v>18</v>
      </c>
    </row>
    <row r="57" spans="1:12" x14ac:dyDescent="0.3">
      <c r="A57" t="s">
        <v>151</v>
      </c>
      <c r="B57" s="2">
        <v>45698.120240480959</v>
      </c>
      <c r="C57" t="s">
        <v>152</v>
      </c>
      <c r="D57" t="s">
        <v>61</v>
      </c>
      <c r="E57" t="s">
        <v>62</v>
      </c>
      <c r="F57" t="s">
        <v>94</v>
      </c>
      <c r="G57" t="s">
        <v>46</v>
      </c>
      <c r="H57">
        <v>54480.9</v>
      </c>
      <c r="I57">
        <v>4</v>
      </c>
      <c r="J57">
        <v>0.2</v>
      </c>
      <c r="K57">
        <v>10606.75</v>
      </c>
      <c r="L57" t="s">
        <v>18</v>
      </c>
    </row>
    <row r="58" spans="1:12" x14ac:dyDescent="0.3">
      <c r="A58" t="s">
        <v>153</v>
      </c>
      <c r="B58" s="2">
        <v>45698.849699398786</v>
      </c>
      <c r="C58" t="s">
        <v>154</v>
      </c>
      <c r="D58" t="s">
        <v>61</v>
      </c>
      <c r="E58" t="s">
        <v>62</v>
      </c>
      <c r="F58" t="s">
        <v>94</v>
      </c>
      <c r="G58" t="s">
        <v>46</v>
      </c>
      <c r="H58">
        <v>53639.53</v>
      </c>
      <c r="I58">
        <v>4</v>
      </c>
      <c r="J58">
        <v>0.15</v>
      </c>
      <c r="K58">
        <v>12783.15</v>
      </c>
      <c r="L58" t="s">
        <v>68</v>
      </c>
    </row>
    <row r="59" spans="1:12" x14ac:dyDescent="0.3">
      <c r="A59" t="s">
        <v>155</v>
      </c>
      <c r="B59" s="2">
        <v>45699.579158316628</v>
      </c>
      <c r="C59" t="s">
        <v>156</v>
      </c>
      <c r="D59" t="s">
        <v>114</v>
      </c>
      <c r="E59" t="s">
        <v>114</v>
      </c>
      <c r="F59" t="s">
        <v>45</v>
      </c>
      <c r="G59" t="s">
        <v>46</v>
      </c>
      <c r="H59">
        <v>390.27</v>
      </c>
      <c r="I59">
        <v>2</v>
      </c>
      <c r="J59">
        <v>0.1</v>
      </c>
      <c r="K59">
        <v>65.680000000000007</v>
      </c>
      <c r="L59" t="s">
        <v>25</v>
      </c>
    </row>
    <row r="60" spans="1:12" x14ac:dyDescent="0.3">
      <c r="A60" t="s">
        <v>157</v>
      </c>
      <c r="B60" s="2">
        <v>45700.30861723447</v>
      </c>
      <c r="C60" t="s">
        <v>158</v>
      </c>
      <c r="D60" t="s">
        <v>38</v>
      </c>
      <c r="E60" t="s">
        <v>39</v>
      </c>
      <c r="F60" t="s">
        <v>45</v>
      </c>
      <c r="G60" t="s">
        <v>46</v>
      </c>
      <c r="H60">
        <v>517.73</v>
      </c>
      <c r="I60">
        <v>2</v>
      </c>
      <c r="J60">
        <v>0</v>
      </c>
      <c r="K60">
        <v>50.13</v>
      </c>
      <c r="L60" t="s">
        <v>31</v>
      </c>
    </row>
    <row r="61" spans="1:12" x14ac:dyDescent="0.3">
      <c r="A61" t="s">
        <v>159</v>
      </c>
      <c r="B61" s="2">
        <v>45701.038076152297</v>
      </c>
      <c r="C61" t="s">
        <v>160</v>
      </c>
      <c r="D61" t="s">
        <v>43</v>
      </c>
      <c r="E61" t="s">
        <v>44</v>
      </c>
      <c r="F61" t="s">
        <v>34</v>
      </c>
      <c r="G61" t="s">
        <v>35</v>
      </c>
      <c r="H61">
        <v>2896.5</v>
      </c>
      <c r="I61">
        <v>2</v>
      </c>
      <c r="J61">
        <v>0.1</v>
      </c>
      <c r="K61">
        <v>366.83</v>
      </c>
      <c r="L61" t="s">
        <v>25</v>
      </c>
    </row>
    <row r="62" spans="1:12" x14ac:dyDescent="0.3">
      <c r="A62" t="s">
        <v>161</v>
      </c>
      <c r="B62" s="2">
        <v>45701.767535070139</v>
      </c>
      <c r="C62" t="s">
        <v>162</v>
      </c>
      <c r="D62" t="s">
        <v>90</v>
      </c>
      <c r="E62" t="s">
        <v>44</v>
      </c>
      <c r="F62" t="s">
        <v>75</v>
      </c>
      <c r="G62" t="s">
        <v>24</v>
      </c>
      <c r="H62">
        <v>8785.7000000000007</v>
      </c>
      <c r="I62">
        <v>1</v>
      </c>
      <c r="J62">
        <v>0.05</v>
      </c>
      <c r="K62">
        <v>1947.23</v>
      </c>
      <c r="L62" t="s">
        <v>18</v>
      </c>
    </row>
    <row r="63" spans="1:12" x14ac:dyDescent="0.3">
      <c r="A63" t="s">
        <v>163</v>
      </c>
      <c r="B63" s="2">
        <v>45702.496993987967</v>
      </c>
      <c r="C63" t="s">
        <v>164</v>
      </c>
      <c r="D63" t="s">
        <v>73</v>
      </c>
      <c r="E63" t="s">
        <v>74</v>
      </c>
      <c r="F63" t="s">
        <v>45</v>
      </c>
      <c r="G63" t="s">
        <v>46</v>
      </c>
      <c r="H63">
        <v>629.39</v>
      </c>
      <c r="I63">
        <v>3</v>
      </c>
      <c r="J63">
        <v>0.05</v>
      </c>
      <c r="K63">
        <v>51.78</v>
      </c>
      <c r="L63" t="s">
        <v>25</v>
      </c>
    </row>
    <row r="64" spans="1:12" x14ac:dyDescent="0.3">
      <c r="A64" t="s">
        <v>165</v>
      </c>
      <c r="B64" s="2">
        <v>45703.226452905808</v>
      </c>
      <c r="C64" t="s">
        <v>27</v>
      </c>
      <c r="D64" t="s">
        <v>61</v>
      </c>
      <c r="E64" t="s">
        <v>62</v>
      </c>
      <c r="F64" t="s">
        <v>23</v>
      </c>
      <c r="G64" t="s">
        <v>24</v>
      </c>
      <c r="H64">
        <v>59229.21</v>
      </c>
      <c r="I64">
        <v>5</v>
      </c>
      <c r="J64">
        <v>0.1</v>
      </c>
      <c r="K64">
        <v>12805.82</v>
      </c>
      <c r="L64" t="s">
        <v>25</v>
      </c>
    </row>
    <row r="65" spans="1:12" x14ac:dyDescent="0.3">
      <c r="A65" t="s">
        <v>166</v>
      </c>
      <c r="B65" s="2">
        <v>45703.955911823643</v>
      </c>
      <c r="C65" t="s">
        <v>110</v>
      </c>
      <c r="D65" t="s">
        <v>90</v>
      </c>
      <c r="E65" t="s">
        <v>44</v>
      </c>
      <c r="F65" t="s">
        <v>94</v>
      </c>
      <c r="G65" t="s">
        <v>46</v>
      </c>
      <c r="H65">
        <v>11004.94</v>
      </c>
      <c r="I65">
        <v>1</v>
      </c>
      <c r="J65">
        <v>0.2</v>
      </c>
      <c r="K65">
        <v>907.15</v>
      </c>
      <c r="L65" t="s">
        <v>68</v>
      </c>
    </row>
    <row r="66" spans="1:12" x14ac:dyDescent="0.3">
      <c r="A66" t="s">
        <v>167</v>
      </c>
      <c r="B66" s="2">
        <v>45704.685370741478</v>
      </c>
      <c r="C66" t="s">
        <v>168</v>
      </c>
      <c r="D66" t="s">
        <v>21</v>
      </c>
      <c r="E66" t="s">
        <v>22</v>
      </c>
      <c r="F66" t="s">
        <v>63</v>
      </c>
      <c r="G66" t="s">
        <v>17</v>
      </c>
      <c r="H66">
        <v>91663.81</v>
      </c>
      <c r="I66">
        <v>5</v>
      </c>
      <c r="J66">
        <v>0.1</v>
      </c>
      <c r="K66">
        <v>8716.0300000000007</v>
      </c>
      <c r="L66" t="s">
        <v>31</v>
      </c>
    </row>
    <row r="67" spans="1:12" x14ac:dyDescent="0.3">
      <c r="A67" t="s">
        <v>169</v>
      </c>
      <c r="B67" s="2">
        <v>45705.414829659319</v>
      </c>
      <c r="C67" t="s">
        <v>170</v>
      </c>
      <c r="D67" t="s">
        <v>114</v>
      </c>
      <c r="E67" t="s">
        <v>114</v>
      </c>
      <c r="F67" t="s">
        <v>56</v>
      </c>
      <c r="G67" t="s">
        <v>35</v>
      </c>
      <c r="H67">
        <v>3024.94</v>
      </c>
      <c r="I67">
        <v>3</v>
      </c>
      <c r="J67">
        <v>0</v>
      </c>
      <c r="K67">
        <v>411.97</v>
      </c>
      <c r="L67" t="s">
        <v>25</v>
      </c>
    </row>
    <row r="68" spans="1:12" x14ac:dyDescent="0.3">
      <c r="A68" t="s">
        <v>171</v>
      </c>
      <c r="B68" s="2">
        <v>45706.144288577147</v>
      </c>
      <c r="C68" t="s">
        <v>172</v>
      </c>
      <c r="D68" t="s">
        <v>49</v>
      </c>
      <c r="E68" t="s">
        <v>50</v>
      </c>
      <c r="F68" t="s">
        <v>63</v>
      </c>
      <c r="G68" t="s">
        <v>17</v>
      </c>
      <c r="H68">
        <v>102653.58</v>
      </c>
      <c r="I68">
        <v>5</v>
      </c>
      <c r="J68">
        <v>0</v>
      </c>
      <c r="K68">
        <v>17732.349999999999</v>
      </c>
      <c r="L68" t="s">
        <v>25</v>
      </c>
    </row>
    <row r="69" spans="1:12" x14ac:dyDescent="0.3">
      <c r="A69" t="s">
        <v>173</v>
      </c>
      <c r="B69" s="2">
        <v>45706.873747494988</v>
      </c>
      <c r="C69" t="s">
        <v>168</v>
      </c>
      <c r="D69" t="s">
        <v>61</v>
      </c>
      <c r="E69" t="s">
        <v>62</v>
      </c>
      <c r="F69" t="s">
        <v>106</v>
      </c>
      <c r="G69" t="s">
        <v>35</v>
      </c>
      <c r="H69">
        <v>1586.85</v>
      </c>
      <c r="I69">
        <v>1</v>
      </c>
      <c r="J69">
        <v>0.05</v>
      </c>
      <c r="K69">
        <v>137.19999999999999</v>
      </c>
      <c r="L69" t="s">
        <v>68</v>
      </c>
    </row>
    <row r="70" spans="1:12" x14ac:dyDescent="0.3">
      <c r="A70" t="s">
        <v>174</v>
      </c>
      <c r="B70" s="2">
        <v>45707.603206412823</v>
      </c>
      <c r="C70" t="s">
        <v>175</v>
      </c>
      <c r="D70" t="s">
        <v>54</v>
      </c>
      <c r="E70" t="s">
        <v>55</v>
      </c>
      <c r="F70" t="s">
        <v>63</v>
      </c>
      <c r="G70" t="s">
        <v>17</v>
      </c>
      <c r="H70">
        <v>97895.11</v>
      </c>
      <c r="I70">
        <v>5</v>
      </c>
      <c r="J70">
        <v>0</v>
      </c>
      <c r="K70">
        <v>26246.3</v>
      </c>
      <c r="L70" t="s">
        <v>31</v>
      </c>
    </row>
    <row r="71" spans="1:12" x14ac:dyDescent="0.3">
      <c r="A71" t="s">
        <v>176</v>
      </c>
      <c r="B71" s="2">
        <v>45708.332665330658</v>
      </c>
      <c r="C71" t="s">
        <v>177</v>
      </c>
      <c r="D71" t="s">
        <v>43</v>
      </c>
      <c r="E71" t="s">
        <v>44</v>
      </c>
      <c r="F71" t="s">
        <v>45</v>
      </c>
      <c r="G71" t="s">
        <v>46</v>
      </c>
      <c r="H71">
        <v>507.74</v>
      </c>
      <c r="I71">
        <v>2</v>
      </c>
      <c r="J71">
        <v>0</v>
      </c>
      <c r="K71">
        <v>82.38</v>
      </c>
      <c r="L71" t="s">
        <v>51</v>
      </c>
    </row>
    <row r="72" spans="1:12" x14ac:dyDescent="0.3">
      <c r="A72" t="s">
        <v>178</v>
      </c>
      <c r="B72" s="2">
        <v>45709.062124248492</v>
      </c>
      <c r="C72" t="s">
        <v>179</v>
      </c>
      <c r="D72" t="s">
        <v>90</v>
      </c>
      <c r="E72" t="s">
        <v>44</v>
      </c>
      <c r="F72" t="s">
        <v>34</v>
      </c>
      <c r="G72" t="s">
        <v>35</v>
      </c>
      <c r="H72">
        <v>9190.17</v>
      </c>
      <c r="I72">
        <v>5</v>
      </c>
      <c r="J72">
        <v>0.05</v>
      </c>
      <c r="K72">
        <v>2259.25</v>
      </c>
      <c r="L72" t="s">
        <v>51</v>
      </c>
    </row>
    <row r="73" spans="1:12" x14ac:dyDescent="0.3">
      <c r="A73" t="s">
        <v>180</v>
      </c>
      <c r="B73" s="2">
        <v>45709.791583166327</v>
      </c>
      <c r="C73" t="s">
        <v>152</v>
      </c>
      <c r="D73" t="s">
        <v>38</v>
      </c>
      <c r="E73" t="s">
        <v>39</v>
      </c>
      <c r="F73" t="s">
        <v>40</v>
      </c>
      <c r="G73" t="s">
        <v>17</v>
      </c>
      <c r="H73">
        <v>2135.25</v>
      </c>
      <c r="I73">
        <v>1</v>
      </c>
      <c r="J73">
        <v>0</v>
      </c>
      <c r="K73">
        <v>466.22</v>
      </c>
      <c r="L73" t="s">
        <v>18</v>
      </c>
    </row>
    <row r="74" spans="1:12" x14ac:dyDescent="0.3">
      <c r="A74" t="s">
        <v>181</v>
      </c>
      <c r="B74" s="2">
        <v>45710.521042084169</v>
      </c>
      <c r="C74" t="s">
        <v>182</v>
      </c>
      <c r="D74" t="s">
        <v>114</v>
      </c>
      <c r="E74" t="s">
        <v>114</v>
      </c>
      <c r="F74" t="s">
        <v>75</v>
      </c>
      <c r="G74" t="s">
        <v>24</v>
      </c>
      <c r="H74">
        <v>40844.74</v>
      </c>
      <c r="I74">
        <v>5</v>
      </c>
      <c r="J74">
        <v>0.15</v>
      </c>
      <c r="K74">
        <v>6354.22</v>
      </c>
      <c r="L74" t="s">
        <v>31</v>
      </c>
    </row>
    <row r="75" spans="1:12" x14ac:dyDescent="0.3">
      <c r="A75" t="s">
        <v>183</v>
      </c>
      <c r="B75" s="2">
        <v>45711.250501002003</v>
      </c>
      <c r="C75" t="s">
        <v>96</v>
      </c>
      <c r="D75" t="s">
        <v>71</v>
      </c>
      <c r="E75" t="s">
        <v>55</v>
      </c>
      <c r="F75" t="s">
        <v>16</v>
      </c>
      <c r="G75" t="s">
        <v>17</v>
      </c>
      <c r="H75">
        <v>13249.03</v>
      </c>
      <c r="I75">
        <v>1</v>
      </c>
      <c r="J75">
        <v>0.1</v>
      </c>
      <c r="K75">
        <v>2008.98</v>
      </c>
      <c r="L75" t="s">
        <v>51</v>
      </c>
    </row>
    <row r="76" spans="1:12" x14ac:dyDescent="0.3">
      <c r="A76" t="s">
        <v>184</v>
      </c>
      <c r="B76" s="2">
        <v>45711.979959919838</v>
      </c>
      <c r="C76" t="s">
        <v>182</v>
      </c>
      <c r="D76" t="s">
        <v>73</v>
      </c>
      <c r="E76" t="s">
        <v>74</v>
      </c>
      <c r="F76" t="s">
        <v>30</v>
      </c>
      <c r="G76" t="s">
        <v>17</v>
      </c>
      <c r="H76">
        <v>76962.75</v>
      </c>
      <c r="I76">
        <v>3</v>
      </c>
      <c r="J76">
        <v>0.15</v>
      </c>
      <c r="K76">
        <v>14652.27</v>
      </c>
      <c r="L76" t="s">
        <v>31</v>
      </c>
    </row>
    <row r="77" spans="1:12" x14ac:dyDescent="0.3">
      <c r="A77" t="s">
        <v>185</v>
      </c>
      <c r="B77" s="2">
        <v>45712.709418837672</v>
      </c>
      <c r="C77" t="s">
        <v>186</v>
      </c>
      <c r="D77" t="s">
        <v>14</v>
      </c>
      <c r="E77" t="s">
        <v>15</v>
      </c>
      <c r="F77" t="s">
        <v>106</v>
      </c>
      <c r="G77" t="s">
        <v>35</v>
      </c>
      <c r="H77">
        <v>7969.84</v>
      </c>
      <c r="I77">
        <v>5</v>
      </c>
      <c r="J77">
        <v>0.15</v>
      </c>
      <c r="K77">
        <v>2077.1799999999998</v>
      </c>
      <c r="L77" t="s">
        <v>51</v>
      </c>
    </row>
    <row r="78" spans="1:12" x14ac:dyDescent="0.3">
      <c r="A78" t="s">
        <v>187</v>
      </c>
      <c r="B78" s="2">
        <v>45713.438877755507</v>
      </c>
      <c r="C78" t="s">
        <v>188</v>
      </c>
      <c r="D78" t="s">
        <v>43</v>
      </c>
      <c r="E78" t="s">
        <v>44</v>
      </c>
      <c r="F78" t="s">
        <v>30</v>
      </c>
      <c r="G78" t="s">
        <v>17</v>
      </c>
      <c r="H78">
        <v>71061.350000000006</v>
      </c>
      <c r="I78">
        <v>3</v>
      </c>
      <c r="J78">
        <v>0.1</v>
      </c>
      <c r="K78">
        <v>13465.36</v>
      </c>
      <c r="L78" t="s">
        <v>25</v>
      </c>
    </row>
    <row r="79" spans="1:12" x14ac:dyDescent="0.3">
      <c r="A79" t="s">
        <v>189</v>
      </c>
      <c r="B79" s="2">
        <v>45714.168336673341</v>
      </c>
      <c r="C79" t="s">
        <v>190</v>
      </c>
      <c r="D79" t="s">
        <v>14</v>
      </c>
      <c r="E79" t="s">
        <v>15</v>
      </c>
      <c r="F79" t="s">
        <v>45</v>
      </c>
      <c r="G79" t="s">
        <v>46</v>
      </c>
      <c r="H79">
        <v>675.3</v>
      </c>
      <c r="I79">
        <v>3</v>
      </c>
      <c r="J79">
        <v>0.15</v>
      </c>
      <c r="K79">
        <v>116.06</v>
      </c>
      <c r="L79" t="s">
        <v>31</v>
      </c>
    </row>
    <row r="80" spans="1:12" x14ac:dyDescent="0.3">
      <c r="A80" t="s">
        <v>191</v>
      </c>
      <c r="B80" s="2">
        <v>45714.897795591183</v>
      </c>
      <c r="C80" t="s">
        <v>192</v>
      </c>
      <c r="D80" t="s">
        <v>61</v>
      </c>
      <c r="E80" t="s">
        <v>62</v>
      </c>
      <c r="F80" t="s">
        <v>16</v>
      </c>
      <c r="G80" t="s">
        <v>17</v>
      </c>
      <c r="H80">
        <v>76076.649999999994</v>
      </c>
      <c r="I80">
        <v>5</v>
      </c>
      <c r="J80">
        <v>0.05</v>
      </c>
      <c r="K80">
        <v>11088.2</v>
      </c>
      <c r="L80" t="s">
        <v>31</v>
      </c>
    </row>
    <row r="81" spans="1:12" x14ac:dyDescent="0.3">
      <c r="A81" t="s">
        <v>193</v>
      </c>
      <c r="B81" s="2">
        <v>45715.627254509018</v>
      </c>
      <c r="C81" t="s">
        <v>194</v>
      </c>
      <c r="D81" t="s">
        <v>14</v>
      </c>
      <c r="E81" t="s">
        <v>15</v>
      </c>
      <c r="F81" t="s">
        <v>75</v>
      </c>
      <c r="G81" t="s">
        <v>24</v>
      </c>
      <c r="H81">
        <v>21667.05</v>
      </c>
      <c r="I81">
        <v>3</v>
      </c>
      <c r="J81">
        <v>0.1</v>
      </c>
      <c r="K81">
        <v>2521.52</v>
      </c>
      <c r="L81" t="s">
        <v>18</v>
      </c>
    </row>
    <row r="82" spans="1:12" x14ac:dyDescent="0.3">
      <c r="A82" t="s">
        <v>195</v>
      </c>
      <c r="B82" s="2">
        <v>45716.356713426852</v>
      </c>
      <c r="C82" t="s">
        <v>152</v>
      </c>
      <c r="D82" t="s">
        <v>71</v>
      </c>
      <c r="E82" t="s">
        <v>55</v>
      </c>
      <c r="F82" t="s">
        <v>34</v>
      </c>
      <c r="G82" t="s">
        <v>35</v>
      </c>
      <c r="H82">
        <v>9249.66</v>
      </c>
      <c r="I82">
        <v>5</v>
      </c>
      <c r="J82">
        <v>0.1</v>
      </c>
      <c r="K82">
        <v>1154.08</v>
      </c>
      <c r="L82" t="s">
        <v>51</v>
      </c>
    </row>
    <row r="83" spans="1:12" x14ac:dyDescent="0.3">
      <c r="A83" t="s">
        <v>196</v>
      </c>
      <c r="B83" s="2">
        <v>45717.086172344687</v>
      </c>
      <c r="C83" t="s">
        <v>164</v>
      </c>
      <c r="D83" t="s">
        <v>61</v>
      </c>
      <c r="E83" t="s">
        <v>62</v>
      </c>
      <c r="F83" t="s">
        <v>45</v>
      </c>
      <c r="G83" t="s">
        <v>46</v>
      </c>
      <c r="H83">
        <v>966.99</v>
      </c>
      <c r="I83">
        <v>5</v>
      </c>
      <c r="J83">
        <v>0.1</v>
      </c>
      <c r="K83">
        <v>180.72</v>
      </c>
      <c r="L83" t="s">
        <v>51</v>
      </c>
    </row>
    <row r="84" spans="1:12" x14ac:dyDescent="0.3">
      <c r="A84" t="s">
        <v>197</v>
      </c>
      <c r="B84" s="2">
        <v>45717.815631262521</v>
      </c>
      <c r="C84" t="s">
        <v>198</v>
      </c>
      <c r="D84" t="s">
        <v>90</v>
      </c>
      <c r="E84" t="s">
        <v>44</v>
      </c>
      <c r="F84" t="s">
        <v>45</v>
      </c>
      <c r="G84" t="s">
        <v>46</v>
      </c>
      <c r="H84">
        <v>1183.0899999999999</v>
      </c>
      <c r="I84">
        <v>5</v>
      </c>
      <c r="J84">
        <v>0</v>
      </c>
      <c r="K84">
        <v>208.49</v>
      </c>
      <c r="L84" t="s">
        <v>18</v>
      </c>
    </row>
    <row r="85" spans="1:12" x14ac:dyDescent="0.3">
      <c r="A85" t="s">
        <v>199</v>
      </c>
      <c r="B85" s="2">
        <v>45718.545090180363</v>
      </c>
      <c r="C85" t="s">
        <v>170</v>
      </c>
      <c r="D85" t="s">
        <v>90</v>
      </c>
      <c r="E85" t="s">
        <v>44</v>
      </c>
      <c r="F85" t="s">
        <v>45</v>
      </c>
      <c r="G85" t="s">
        <v>46</v>
      </c>
      <c r="H85">
        <v>982.67</v>
      </c>
      <c r="I85">
        <v>4</v>
      </c>
      <c r="J85">
        <v>0.1</v>
      </c>
      <c r="K85">
        <v>114.88</v>
      </c>
      <c r="L85" t="s">
        <v>51</v>
      </c>
    </row>
    <row r="86" spans="1:12" x14ac:dyDescent="0.3">
      <c r="A86" t="s">
        <v>200</v>
      </c>
      <c r="B86" s="2">
        <v>45719.274549098198</v>
      </c>
      <c r="C86" t="s">
        <v>133</v>
      </c>
      <c r="D86" t="s">
        <v>61</v>
      </c>
      <c r="E86" t="s">
        <v>62</v>
      </c>
      <c r="F86" t="s">
        <v>75</v>
      </c>
      <c r="G86" t="s">
        <v>24</v>
      </c>
      <c r="H86">
        <v>19336.34</v>
      </c>
      <c r="I86">
        <v>2</v>
      </c>
      <c r="J86">
        <v>0</v>
      </c>
      <c r="K86">
        <v>2523.15</v>
      </c>
      <c r="L86" t="s">
        <v>18</v>
      </c>
    </row>
    <row r="87" spans="1:12" x14ac:dyDescent="0.3">
      <c r="A87" t="s">
        <v>201</v>
      </c>
      <c r="B87" s="2">
        <v>45720.004008016032</v>
      </c>
      <c r="C87" t="s">
        <v>202</v>
      </c>
      <c r="D87" t="s">
        <v>61</v>
      </c>
      <c r="E87" t="s">
        <v>62</v>
      </c>
      <c r="F87" t="s">
        <v>30</v>
      </c>
      <c r="G87" t="s">
        <v>17</v>
      </c>
      <c r="H87">
        <v>54505.91</v>
      </c>
      <c r="I87">
        <v>2</v>
      </c>
      <c r="J87">
        <v>0.05</v>
      </c>
      <c r="K87">
        <v>5503.67</v>
      </c>
      <c r="L87" t="s">
        <v>25</v>
      </c>
    </row>
    <row r="88" spans="1:12" x14ac:dyDescent="0.3">
      <c r="A88" t="s">
        <v>203</v>
      </c>
      <c r="B88" s="2">
        <v>45720.733466933867</v>
      </c>
      <c r="C88" t="s">
        <v>168</v>
      </c>
      <c r="D88" t="s">
        <v>73</v>
      </c>
      <c r="E88" t="s">
        <v>74</v>
      </c>
      <c r="F88" t="s">
        <v>75</v>
      </c>
      <c r="G88" t="s">
        <v>24</v>
      </c>
      <c r="H88">
        <v>9919.92</v>
      </c>
      <c r="I88">
        <v>1</v>
      </c>
      <c r="J88">
        <v>0</v>
      </c>
      <c r="K88">
        <v>1855.69</v>
      </c>
      <c r="L88" t="s">
        <v>68</v>
      </c>
    </row>
    <row r="89" spans="1:12" x14ac:dyDescent="0.3">
      <c r="A89" t="s">
        <v>204</v>
      </c>
      <c r="B89" s="2">
        <v>45721.462925851702</v>
      </c>
      <c r="C89" t="s">
        <v>205</v>
      </c>
      <c r="D89" t="s">
        <v>54</v>
      </c>
      <c r="E89" t="s">
        <v>55</v>
      </c>
      <c r="F89" t="s">
        <v>94</v>
      </c>
      <c r="G89" t="s">
        <v>46</v>
      </c>
      <c r="H89">
        <v>51652.69</v>
      </c>
      <c r="I89">
        <v>4</v>
      </c>
      <c r="J89">
        <v>0.1</v>
      </c>
      <c r="K89">
        <v>9086.56</v>
      </c>
      <c r="L89" t="s">
        <v>51</v>
      </c>
    </row>
    <row r="90" spans="1:12" x14ac:dyDescent="0.3">
      <c r="A90" t="s">
        <v>206</v>
      </c>
      <c r="B90" s="2">
        <v>45722.192384769543</v>
      </c>
      <c r="C90" t="s">
        <v>207</v>
      </c>
      <c r="D90" t="s">
        <v>49</v>
      </c>
      <c r="E90" t="s">
        <v>50</v>
      </c>
      <c r="F90" t="s">
        <v>23</v>
      </c>
      <c r="G90" t="s">
        <v>24</v>
      </c>
      <c r="H90">
        <v>11620.45</v>
      </c>
      <c r="I90">
        <v>1</v>
      </c>
      <c r="J90">
        <v>0.05</v>
      </c>
      <c r="K90">
        <v>1713.89</v>
      </c>
      <c r="L90" t="s">
        <v>208</v>
      </c>
    </row>
    <row r="91" spans="1:12" x14ac:dyDescent="0.3">
      <c r="A91" t="s">
        <v>209</v>
      </c>
      <c r="B91" s="2">
        <v>45722.921843687371</v>
      </c>
      <c r="C91" t="s">
        <v>210</v>
      </c>
      <c r="D91" t="s">
        <v>21</v>
      </c>
      <c r="E91" t="s">
        <v>22</v>
      </c>
      <c r="F91" t="s">
        <v>23</v>
      </c>
      <c r="G91" t="s">
        <v>24</v>
      </c>
      <c r="H91">
        <v>37128.92</v>
      </c>
      <c r="I91">
        <v>3</v>
      </c>
      <c r="J91">
        <v>0.1</v>
      </c>
      <c r="K91">
        <v>4731.91</v>
      </c>
      <c r="L91" t="s">
        <v>25</v>
      </c>
    </row>
    <row r="92" spans="1:12" x14ac:dyDescent="0.3">
      <c r="A92" t="s">
        <v>211</v>
      </c>
      <c r="B92" s="2">
        <v>45723.651302605213</v>
      </c>
      <c r="C92" t="s">
        <v>53</v>
      </c>
      <c r="D92" t="s">
        <v>21</v>
      </c>
      <c r="E92" t="s">
        <v>22</v>
      </c>
      <c r="F92" t="s">
        <v>23</v>
      </c>
      <c r="G92" t="s">
        <v>24</v>
      </c>
      <c r="H92">
        <v>9439.9599999999991</v>
      </c>
      <c r="I92">
        <v>1</v>
      </c>
      <c r="J92">
        <v>0.1</v>
      </c>
      <c r="K92">
        <v>1530.02</v>
      </c>
      <c r="L92" t="s">
        <v>51</v>
      </c>
    </row>
    <row r="93" spans="1:12" x14ac:dyDescent="0.3">
      <c r="A93" t="s">
        <v>212</v>
      </c>
      <c r="B93" s="2">
        <v>45724.380761523047</v>
      </c>
      <c r="C93" t="s">
        <v>170</v>
      </c>
      <c r="D93" t="s">
        <v>54</v>
      </c>
      <c r="E93" t="s">
        <v>55</v>
      </c>
      <c r="F93" t="s">
        <v>63</v>
      </c>
      <c r="G93" t="s">
        <v>17</v>
      </c>
      <c r="H93">
        <v>62251.48</v>
      </c>
      <c r="I93">
        <v>3</v>
      </c>
      <c r="J93">
        <v>0.15</v>
      </c>
      <c r="K93">
        <v>8191.08</v>
      </c>
      <c r="L93" t="s">
        <v>18</v>
      </c>
    </row>
    <row r="94" spans="1:12" x14ac:dyDescent="0.3">
      <c r="A94" t="s">
        <v>213</v>
      </c>
      <c r="B94" s="2">
        <v>45725.110220440882</v>
      </c>
      <c r="C94" t="s">
        <v>113</v>
      </c>
      <c r="D94" t="s">
        <v>38</v>
      </c>
      <c r="E94" t="s">
        <v>39</v>
      </c>
      <c r="F94" t="s">
        <v>30</v>
      </c>
      <c r="G94" t="s">
        <v>17</v>
      </c>
      <c r="H94">
        <v>87336.86</v>
      </c>
      <c r="I94">
        <v>3</v>
      </c>
      <c r="J94">
        <v>0.05</v>
      </c>
      <c r="K94">
        <v>20427.97</v>
      </c>
      <c r="L94" t="s">
        <v>25</v>
      </c>
    </row>
    <row r="95" spans="1:12" x14ac:dyDescent="0.3">
      <c r="A95" t="s">
        <v>214</v>
      </c>
      <c r="B95" s="2">
        <v>45725.839679358724</v>
      </c>
      <c r="C95" t="s">
        <v>210</v>
      </c>
      <c r="D95" t="s">
        <v>71</v>
      </c>
      <c r="E95" t="s">
        <v>55</v>
      </c>
      <c r="F95" t="s">
        <v>16</v>
      </c>
      <c r="G95" t="s">
        <v>17</v>
      </c>
      <c r="H95">
        <v>13493.02</v>
      </c>
      <c r="I95">
        <v>1</v>
      </c>
      <c r="J95">
        <v>0.1</v>
      </c>
      <c r="K95">
        <v>2987.98</v>
      </c>
      <c r="L95" t="s">
        <v>18</v>
      </c>
    </row>
    <row r="96" spans="1:12" x14ac:dyDescent="0.3">
      <c r="A96" t="s">
        <v>215</v>
      </c>
      <c r="B96" s="2">
        <v>45726.569138276551</v>
      </c>
      <c r="C96" t="s">
        <v>216</v>
      </c>
      <c r="D96" t="s">
        <v>54</v>
      </c>
      <c r="E96" t="s">
        <v>55</v>
      </c>
      <c r="F96" t="s">
        <v>34</v>
      </c>
      <c r="G96" t="s">
        <v>35</v>
      </c>
      <c r="H96">
        <v>4440.25</v>
      </c>
      <c r="I96">
        <v>3</v>
      </c>
      <c r="J96">
        <v>0.05</v>
      </c>
      <c r="K96">
        <v>474.59</v>
      </c>
      <c r="L96" t="s">
        <v>25</v>
      </c>
    </row>
    <row r="97" spans="1:12" x14ac:dyDescent="0.3">
      <c r="A97" t="s">
        <v>217</v>
      </c>
      <c r="B97" s="2">
        <v>45727.298597194393</v>
      </c>
      <c r="C97" t="s">
        <v>131</v>
      </c>
      <c r="D97" t="s">
        <v>43</v>
      </c>
      <c r="E97" t="s">
        <v>44</v>
      </c>
      <c r="F97" t="s">
        <v>23</v>
      </c>
      <c r="G97" t="s">
        <v>24</v>
      </c>
      <c r="H97">
        <v>21032.65</v>
      </c>
      <c r="I97">
        <v>2</v>
      </c>
      <c r="J97">
        <v>0</v>
      </c>
      <c r="K97">
        <v>1694.02</v>
      </c>
      <c r="L97" t="s">
        <v>18</v>
      </c>
    </row>
    <row r="98" spans="1:12" x14ac:dyDescent="0.3">
      <c r="A98" t="s">
        <v>218</v>
      </c>
      <c r="B98" s="2">
        <v>45728.02805611222</v>
      </c>
      <c r="C98" t="s">
        <v>219</v>
      </c>
      <c r="D98" t="s">
        <v>90</v>
      </c>
      <c r="E98" t="s">
        <v>44</v>
      </c>
      <c r="F98" t="s">
        <v>106</v>
      </c>
      <c r="G98" t="s">
        <v>35</v>
      </c>
      <c r="H98">
        <v>8204.4599999999991</v>
      </c>
      <c r="I98">
        <v>4</v>
      </c>
      <c r="J98">
        <v>0</v>
      </c>
      <c r="K98">
        <v>1855.63</v>
      </c>
      <c r="L98" t="s">
        <v>25</v>
      </c>
    </row>
    <row r="99" spans="1:12" x14ac:dyDescent="0.3">
      <c r="A99" t="s">
        <v>220</v>
      </c>
      <c r="B99" s="2">
        <v>45728.757515030047</v>
      </c>
      <c r="C99" t="s">
        <v>194</v>
      </c>
      <c r="D99" t="s">
        <v>71</v>
      </c>
      <c r="E99" t="s">
        <v>55</v>
      </c>
      <c r="F99" t="s">
        <v>40</v>
      </c>
      <c r="G99" t="s">
        <v>17</v>
      </c>
      <c r="H99">
        <v>2412.7600000000002</v>
      </c>
      <c r="I99">
        <v>1</v>
      </c>
      <c r="J99">
        <v>0.1</v>
      </c>
      <c r="K99">
        <v>599.25</v>
      </c>
      <c r="L99" t="s">
        <v>68</v>
      </c>
    </row>
    <row r="100" spans="1:12" x14ac:dyDescent="0.3">
      <c r="A100" t="s">
        <v>221</v>
      </c>
      <c r="B100" s="2">
        <v>45729.486973947904</v>
      </c>
      <c r="C100" t="s">
        <v>37</v>
      </c>
      <c r="D100" t="s">
        <v>61</v>
      </c>
      <c r="E100" t="s">
        <v>62</v>
      </c>
      <c r="F100" t="s">
        <v>40</v>
      </c>
      <c r="G100" t="s">
        <v>17</v>
      </c>
      <c r="H100">
        <v>11324.02</v>
      </c>
      <c r="I100">
        <v>5</v>
      </c>
      <c r="J100">
        <v>0</v>
      </c>
      <c r="K100">
        <v>2341.2600000000002</v>
      </c>
      <c r="L100" t="s">
        <v>68</v>
      </c>
    </row>
    <row r="101" spans="1:12" x14ac:dyDescent="0.3">
      <c r="A101" t="s">
        <v>222</v>
      </c>
      <c r="B101" s="2">
        <v>45730.216432865731</v>
      </c>
      <c r="C101" t="s">
        <v>162</v>
      </c>
      <c r="D101" t="s">
        <v>73</v>
      </c>
      <c r="E101" t="s">
        <v>74</v>
      </c>
      <c r="F101" t="s">
        <v>94</v>
      </c>
      <c r="G101" t="s">
        <v>46</v>
      </c>
      <c r="H101">
        <v>31206.92</v>
      </c>
      <c r="I101">
        <v>2</v>
      </c>
      <c r="J101">
        <v>0.05</v>
      </c>
      <c r="K101">
        <v>4849.21</v>
      </c>
      <c r="L101" t="s">
        <v>31</v>
      </c>
    </row>
    <row r="102" spans="1:12" x14ac:dyDescent="0.3">
      <c r="A102" t="s">
        <v>223</v>
      </c>
      <c r="B102" s="2">
        <v>45730.945891783573</v>
      </c>
      <c r="C102" t="s">
        <v>224</v>
      </c>
      <c r="D102" t="s">
        <v>14</v>
      </c>
      <c r="E102" t="s">
        <v>15</v>
      </c>
      <c r="F102" t="s">
        <v>87</v>
      </c>
      <c r="G102" t="s">
        <v>17</v>
      </c>
      <c r="H102">
        <v>49982.81</v>
      </c>
      <c r="I102">
        <v>1</v>
      </c>
      <c r="J102">
        <v>0.05</v>
      </c>
      <c r="K102">
        <v>9315.3700000000008</v>
      </c>
      <c r="L102" t="s">
        <v>18</v>
      </c>
    </row>
    <row r="103" spans="1:12" x14ac:dyDescent="0.3">
      <c r="A103" t="s">
        <v>225</v>
      </c>
      <c r="B103" s="2">
        <v>45731.6753507014</v>
      </c>
      <c r="C103" t="s">
        <v>135</v>
      </c>
      <c r="D103" t="s">
        <v>14</v>
      </c>
      <c r="E103" t="s">
        <v>15</v>
      </c>
      <c r="F103" t="s">
        <v>40</v>
      </c>
      <c r="G103" t="s">
        <v>17</v>
      </c>
      <c r="H103">
        <v>7397.97</v>
      </c>
      <c r="I103">
        <v>3</v>
      </c>
      <c r="J103">
        <v>0.05</v>
      </c>
      <c r="K103">
        <v>797.9</v>
      </c>
      <c r="L103" t="s">
        <v>18</v>
      </c>
    </row>
    <row r="104" spans="1:12" x14ac:dyDescent="0.3">
      <c r="A104" t="s">
        <v>226</v>
      </c>
      <c r="B104" s="2">
        <v>45732.404809619227</v>
      </c>
      <c r="C104" t="s">
        <v>205</v>
      </c>
      <c r="D104" t="s">
        <v>54</v>
      </c>
      <c r="E104" t="s">
        <v>55</v>
      </c>
      <c r="F104" t="s">
        <v>56</v>
      </c>
      <c r="G104" t="s">
        <v>35</v>
      </c>
      <c r="H104">
        <v>849.16</v>
      </c>
      <c r="I104">
        <v>1</v>
      </c>
      <c r="J104">
        <v>0</v>
      </c>
      <c r="K104">
        <v>194.28</v>
      </c>
      <c r="L104" t="s">
        <v>51</v>
      </c>
    </row>
    <row r="105" spans="1:12" x14ac:dyDescent="0.3">
      <c r="A105" t="s">
        <v>227</v>
      </c>
      <c r="B105" s="2">
        <v>45733.134268537069</v>
      </c>
      <c r="C105" t="s">
        <v>53</v>
      </c>
      <c r="D105" t="s">
        <v>73</v>
      </c>
      <c r="E105" t="s">
        <v>74</v>
      </c>
      <c r="F105" t="s">
        <v>106</v>
      </c>
      <c r="G105" t="s">
        <v>35</v>
      </c>
      <c r="H105">
        <v>5812.51</v>
      </c>
      <c r="I105">
        <v>3</v>
      </c>
      <c r="J105">
        <v>0</v>
      </c>
      <c r="K105">
        <v>1088.6600000000001</v>
      </c>
      <c r="L105" t="s">
        <v>25</v>
      </c>
    </row>
    <row r="106" spans="1:12" x14ac:dyDescent="0.3">
      <c r="A106" t="s">
        <v>228</v>
      </c>
      <c r="B106" s="2">
        <v>45733.863727454911</v>
      </c>
      <c r="C106" t="s">
        <v>192</v>
      </c>
      <c r="D106" t="s">
        <v>49</v>
      </c>
      <c r="E106" t="s">
        <v>50</v>
      </c>
      <c r="F106" t="s">
        <v>23</v>
      </c>
      <c r="G106" t="s">
        <v>24</v>
      </c>
      <c r="H106">
        <v>56766.71</v>
      </c>
      <c r="I106">
        <v>5</v>
      </c>
      <c r="J106">
        <v>0.05</v>
      </c>
      <c r="K106">
        <v>13304.78</v>
      </c>
      <c r="L106" t="s">
        <v>18</v>
      </c>
    </row>
    <row r="107" spans="1:12" x14ac:dyDescent="0.3">
      <c r="A107" t="s">
        <v>229</v>
      </c>
      <c r="B107" s="2">
        <v>45734.593186372753</v>
      </c>
      <c r="C107" t="s">
        <v>230</v>
      </c>
      <c r="D107" t="s">
        <v>54</v>
      </c>
      <c r="E107" t="s">
        <v>55</v>
      </c>
      <c r="F107" t="s">
        <v>16</v>
      </c>
      <c r="G107" t="s">
        <v>17</v>
      </c>
      <c r="H107">
        <v>24619.35</v>
      </c>
      <c r="I107">
        <v>2</v>
      </c>
      <c r="J107">
        <v>0.05</v>
      </c>
      <c r="K107">
        <v>2863.71</v>
      </c>
      <c r="L107" t="s">
        <v>51</v>
      </c>
    </row>
    <row r="108" spans="1:12" x14ac:dyDescent="0.3">
      <c r="A108" t="s">
        <v>231</v>
      </c>
      <c r="B108" s="2">
        <v>45735.32264529058</v>
      </c>
      <c r="C108" t="s">
        <v>232</v>
      </c>
      <c r="D108" t="s">
        <v>21</v>
      </c>
      <c r="E108" t="s">
        <v>22</v>
      </c>
      <c r="F108" t="s">
        <v>63</v>
      </c>
      <c r="G108" t="s">
        <v>17</v>
      </c>
      <c r="H108">
        <v>40624.410000000003</v>
      </c>
      <c r="I108">
        <v>2</v>
      </c>
      <c r="J108">
        <v>0.1</v>
      </c>
      <c r="K108">
        <v>8217.9500000000007</v>
      </c>
      <c r="L108" t="s">
        <v>25</v>
      </c>
    </row>
    <row r="109" spans="1:12" x14ac:dyDescent="0.3">
      <c r="A109" t="s">
        <v>233</v>
      </c>
      <c r="B109" s="2">
        <v>45736.052104208407</v>
      </c>
      <c r="C109" t="s">
        <v>58</v>
      </c>
      <c r="D109" t="s">
        <v>114</v>
      </c>
      <c r="E109" t="s">
        <v>114</v>
      </c>
      <c r="F109" t="s">
        <v>23</v>
      </c>
      <c r="G109" t="s">
        <v>24</v>
      </c>
      <c r="H109">
        <v>63730.3</v>
      </c>
      <c r="I109">
        <v>5</v>
      </c>
      <c r="J109">
        <v>0</v>
      </c>
      <c r="K109">
        <v>12443.83</v>
      </c>
      <c r="L109" t="s">
        <v>18</v>
      </c>
    </row>
    <row r="110" spans="1:12" x14ac:dyDescent="0.3">
      <c r="A110" t="s">
        <v>234</v>
      </c>
      <c r="B110" s="2">
        <v>45736.781563126249</v>
      </c>
      <c r="C110" t="s">
        <v>205</v>
      </c>
      <c r="D110" t="s">
        <v>49</v>
      </c>
      <c r="E110" t="s">
        <v>50</v>
      </c>
      <c r="F110" t="s">
        <v>94</v>
      </c>
      <c r="G110" t="s">
        <v>46</v>
      </c>
      <c r="H110">
        <v>44336.33</v>
      </c>
      <c r="I110">
        <v>3</v>
      </c>
      <c r="J110">
        <v>0</v>
      </c>
      <c r="K110">
        <v>12279.76</v>
      </c>
      <c r="L110" t="s">
        <v>31</v>
      </c>
    </row>
    <row r="111" spans="1:12" x14ac:dyDescent="0.3">
      <c r="A111" t="s">
        <v>235</v>
      </c>
      <c r="B111" s="2">
        <v>45737.511022044077</v>
      </c>
      <c r="C111" t="s">
        <v>236</v>
      </c>
      <c r="D111" t="s">
        <v>90</v>
      </c>
      <c r="E111" t="s">
        <v>44</v>
      </c>
      <c r="F111" t="s">
        <v>56</v>
      </c>
      <c r="G111" t="s">
        <v>35</v>
      </c>
      <c r="H111">
        <v>2635.23</v>
      </c>
      <c r="I111">
        <v>3</v>
      </c>
      <c r="J111">
        <v>0.05</v>
      </c>
      <c r="K111">
        <v>239.68</v>
      </c>
      <c r="L111" t="s">
        <v>25</v>
      </c>
    </row>
    <row r="112" spans="1:12" x14ac:dyDescent="0.3">
      <c r="A112" t="s">
        <v>237</v>
      </c>
      <c r="B112" s="2">
        <v>45738.240480961918</v>
      </c>
      <c r="C112" t="s">
        <v>238</v>
      </c>
      <c r="D112" t="s">
        <v>38</v>
      </c>
      <c r="E112" t="s">
        <v>39</v>
      </c>
      <c r="F112" t="s">
        <v>106</v>
      </c>
      <c r="G112" t="s">
        <v>35</v>
      </c>
      <c r="H112">
        <v>3249.17</v>
      </c>
      <c r="I112">
        <v>2</v>
      </c>
      <c r="J112">
        <v>0.05</v>
      </c>
      <c r="K112">
        <v>609.15</v>
      </c>
      <c r="L112" t="s">
        <v>51</v>
      </c>
    </row>
    <row r="113" spans="1:12" x14ac:dyDescent="0.3">
      <c r="A113" t="s">
        <v>239</v>
      </c>
      <c r="B113" s="2">
        <v>45738.96993987976</v>
      </c>
      <c r="C113" t="s">
        <v>142</v>
      </c>
      <c r="D113" t="s">
        <v>14</v>
      </c>
      <c r="E113" t="s">
        <v>15</v>
      </c>
      <c r="F113" t="s">
        <v>30</v>
      </c>
      <c r="G113" t="s">
        <v>17</v>
      </c>
      <c r="H113">
        <v>91591.9</v>
      </c>
      <c r="I113">
        <v>3</v>
      </c>
      <c r="J113">
        <v>0.05</v>
      </c>
      <c r="K113">
        <v>11441.75</v>
      </c>
      <c r="L113" t="s">
        <v>31</v>
      </c>
    </row>
    <row r="114" spans="1:12" x14ac:dyDescent="0.3">
      <c r="A114" t="s">
        <v>240</v>
      </c>
      <c r="B114" s="2">
        <v>45739.699398797587</v>
      </c>
      <c r="C114" t="s">
        <v>113</v>
      </c>
      <c r="D114" t="s">
        <v>14</v>
      </c>
      <c r="E114" t="s">
        <v>15</v>
      </c>
      <c r="F114" t="s">
        <v>16</v>
      </c>
      <c r="G114" t="s">
        <v>17</v>
      </c>
      <c r="H114">
        <v>74776.17</v>
      </c>
      <c r="I114">
        <v>5</v>
      </c>
      <c r="J114">
        <v>0.05</v>
      </c>
      <c r="K114">
        <v>14664.93</v>
      </c>
      <c r="L114" t="s">
        <v>25</v>
      </c>
    </row>
    <row r="115" spans="1:12" x14ac:dyDescent="0.3">
      <c r="A115" t="s">
        <v>241</v>
      </c>
      <c r="B115" s="2">
        <v>45740.428857715429</v>
      </c>
      <c r="C115" t="s">
        <v>48</v>
      </c>
      <c r="D115" t="s">
        <v>43</v>
      </c>
      <c r="E115" t="s">
        <v>44</v>
      </c>
      <c r="F115" t="s">
        <v>106</v>
      </c>
      <c r="G115" t="s">
        <v>35</v>
      </c>
      <c r="H115">
        <v>1300.9100000000001</v>
      </c>
      <c r="I115">
        <v>1</v>
      </c>
      <c r="J115">
        <v>0.2</v>
      </c>
      <c r="K115">
        <v>142.75</v>
      </c>
      <c r="L115" t="s">
        <v>25</v>
      </c>
    </row>
    <row r="116" spans="1:12" x14ac:dyDescent="0.3">
      <c r="A116" t="s">
        <v>242</v>
      </c>
      <c r="B116" s="2">
        <v>45741.158316633257</v>
      </c>
      <c r="C116" t="s">
        <v>243</v>
      </c>
      <c r="D116" t="s">
        <v>49</v>
      </c>
      <c r="E116" t="s">
        <v>50</v>
      </c>
      <c r="F116" t="s">
        <v>87</v>
      </c>
      <c r="G116" t="s">
        <v>17</v>
      </c>
      <c r="H116">
        <v>49270.76</v>
      </c>
      <c r="I116">
        <v>1</v>
      </c>
      <c r="J116">
        <v>0.05</v>
      </c>
      <c r="K116">
        <v>8147.3</v>
      </c>
      <c r="L116" t="s">
        <v>68</v>
      </c>
    </row>
    <row r="117" spans="1:12" x14ac:dyDescent="0.3">
      <c r="A117" t="s">
        <v>244</v>
      </c>
      <c r="B117" s="2">
        <v>45741.887775551098</v>
      </c>
      <c r="C117" t="s">
        <v>86</v>
      </c>
      <c r="D117" t="s">
        <v>90</v>
      </c>
      <c r="E117" t="s">
        <v>44</v>
      </c>
      <c r="F117" t="s">
        <v>23</v>
      </c>
      <c r="G117" t="s">
        <v>24</v>
      </c>
      <c r="H117">
        <v>26613.200000000001</v>
      </c>
      <c r="I117">
        <v>3</v>
      </c>
      <c r="J117">
        <v>0.15</v>
      </c>
      <c r="K117">
        <v>4541.75</v>
      </c>
      <c r="L117" t="s">
        <v>25</v>
      </c>
    </row>
    <row r="118" spans="1:12" x14ac:dyDescent="0.3">
      <c r="A118" t="s">
        <v>245</v>
      </c>
      <c r="B118" s="2">
        <v>45742.617234468933</v>
      </c>
      <c r="C118" t="s">
        <v>133</v>
      </c>
      <c r="D118" t="s">
        <v>90</v>
      </c>
      <c r="E118" t="s">
        <v>44</v>
      </c>
      <c r="F118" t="s">
        <v>30</v>
      </c>
      <c r="G118" t="s">
        <v>17</v>
      </c>
      <c r="H118">
        <v>80691.490000000005</v>
      </c>
      <c r="I118">
        <v>3</v>
      </c>
      <c r="J118">
        <v>0</v>
      </c>
      <c r="K118">
        <v>20363.07</v>
      </c>
      <c r="L118" t="s">
        <v>51</v>
      </c>
    </row>
    <row r="119" spans="1:12" x14ac:dyDescent="0.3">
      <c r="A119" t="s">
        <v>246</v>
      </c>
      <c r="B119" s="2">
        <v>45743.346693386768</v>
      </c>
      <c r="C119" t="s">
        <v>247</v>
      </c>
      <c r="D119" t="s">
        <v>73</v>
      </c>
      <c r="E119" t="s">
        <v>74</v>
      </c>
      <c r="F119" t="s">
        <v>40</v>
      </c>
      <c r="G119" t="s">
        <v>17</v>
      </c>
      <c r="H119">
        <v>4863.1000000000004</v>
      </c>
      <c r="I119">
        <v>2</v>
      </c>
      <c r="J119">
        <v>0</v>
      </c>
      <c r="K119">
        <v>540.92999999999995</v>
      </c>
      <c r="L119" t="s">
        <v>68</v>
      </c>
    </row>
    <row r="120" spans="1:12" x14ac:dyDescent="0.3">
      <c r="A120" t="s">
        <v>248</v>
      </c>
      <c r="B120" s="2">
        <v>45744.076152304609</v>
      </c>
      <c r="C120" t="s">
        <v>170</v>
      </c>
      <c r="D120" t="s">
        <v>49</v>
      </c>
      <c r="E120" t="s">
        <v>50</v>
      </c>
      <c r="F120" t="s">
        <v>87</v>
      </c>
      <c r="G120" t="s">
        <v>17</v>
      </c>
      <c r="H120">
        <v>50412.54</v>
      </c>
      <c r="I120">
        <v>1</v>
      </c>
      <c r="J120">
        <v>0</v>
      </c>
      <c r="K120">
        <v>10807.37</v>
      </c>
      <c r="L120" t="s">
        <v>31</v>
      </c>
    </row>
    <row r="121" spans="1:12" x14ac:dyDescent="0.3">
      <c r="A121" t="s">
        <v>249</v>
      </c>
      <c r="B121" s="2">
        <v>45744.805611222437</v>
      </c>
      <c r="C121" t="s">
        <v>250</v>
      </c>
      <c r="D121" t="s">
        <v>114</v>
      </c>
      <c r="E121" t="s">
        <v>114</v>
      </c>
      <c r="F121" t="s">
        <v>40</v>
      </c>
      <c r="G121" t="s">
        <v>17</v>
      </c>
      <c r="H121">
        <v>7843.68</v>
      </c>
      <c r="I121">
        <v>3</v>
      </c>
      <c r="J121">
        <v>0</v>
      </c>
      <c r="K121">
        <v>783.49</v>
      </c>
      <c r="L121" t="s">
        <v>18</v>
      </c>
    </row>
    <row r="122" spans="1:12" x14ac:dyDescent="0.3">
      <c r="A122" t="s">
        <v>251</v>
      </c>
      <c r="B122" s="2">
        <v>45745.535070140279</v>
      </c>
      <c r="C122" t="s">
        <v>247</v>
      </c>
      <c r="D122" t="s">
        <v>54</v>
      </c>
      <c r="E122" t="s">
        <v>55</v>
      </c>
      <c r="F122" t="s">
        <v>16</v>
      </c>
      <c r="G122" t="s">
        <v>17</v>
      </c>
      <c r="H122">
        <v>59339.58</v>
      </c>
      <c r="I122">
        <v>5</v>
      </c>
      <c r="J122">
        <v>0.05</v>
      </c>
      <c r="K122">
        <v>8592.25</v>
      </c>
      <c r="L122" t="s">
        <v>51</v>
      </c>
    </row>
    <row r="123" spans="1:12" x14ac:dyDescent="0.3">
      <c r="A123" t="s">
        <v>252</v>
      </c>
      <c r="B123" s="2">
        <v>45746.264529058113</v>
      </c>
      <c r="C123" t="s">
        <v>186</v>
      </c>
      <c r="D123" t="s">
        <v>14</v>
      </c>
      <c r="E123" t="s">
        <v>15</v>
      </c>
      <c r="F123" t="s">
        <v>87</v>
      </c>
      <c r="G123" t="s">
        <v>17</v>
      </c>
      <c r="H123">
        <v>235938.91</v>
      </c>
      <c r="I123">
        <v>5</v>
      </c>
      <c r="J123">
        <v>0</v>
      </c>
      <c r="K123">
        <v>46387.55</v>
      </c>
      <c r="L123" t="s">
        <v>51</v>
      </c>
    </row>
    <row r="124" spans="1:12" x14ac:dyDescent="0.3">
      <c r="A124" t="s">
        <v>253</v>
      </c>
      <c r="B124" s="2">
        <v>45746.993987975948</v>
      </c>
      <c r="C124" t="s">
        <v>126</v>
      </c>
      <c r="D124" t="s">
        <v>90</v>
      </c>
      <c r="E124" t="s">
        <v>44</v>
      </c>
      <c r="F124" t="s">
        <v>106</v>
      </c>
      <c r="G124" t="s">
        <v>35</v>
      </c>
      <c r="H124">
        <v>5818.65</v>
      </c>
      <c r="I124">
        <v>4</v>
      </c>
      <c r="J124">
        <v>0.15</v>
      </c>
      <c r="K124">
        <v>887.99</v>
      </c>
      <c r="L124" t="s">
        <v>68</v>
      </c>
    </row>
    <row r="125" spans="1:12" x14ac:dyDescent="0.3">
      <c r="A125" t="s">
        <v>254</v>
      </c>
      <c r="B125" s="2">
        <v>45747.723446893782</v>
      </c>
      <c r="C125" t="s">
        <v>198</v>
      </c>
      <c r="D125" t="s">
        <v>114</v>
      </c>
      <c r="E125" t="s">
        <v>114</v>
      </c>
      <c r="F125" t="s">
        <v>56</v>
      </c>
      <c r="G125" t="s">
        <v>35</v>
      </c>
      <c r="H125">
        <v>838.61</v>
      </c>
      <c r="I125">
        <v>1</v>
      </c>
      <c r="J125">
        <v>0.05</v>
      </c>
      <c r="K125">
        <v>226.17</v>
      </c>
      <c r="L125" t="s">
        <v>31</v>
      </c>
    </row>
    <row r="126" spans="1:12" x14ac:dyDescent="0.3">
      <c r="A126" t="s">
        <v>255</v>
      </c>
      <c r="B126" s="2">
        <v>45748.452905811617</v>
      </c>
      <c r="C126" t="s">
        <v>70</v>
      </c>
      <c r="D126" t="s">
        <v>73</v>
      </c>
      <c r="E126" t="s">
        <v>74</v>
      </c>
      <c r="F126" t="s">
        <v>23</v>
      </c>
      <c r="G126" t="s">
        <v>24</v>
      </c>
      <c r="H126">
        <v>34221.99</v>
      </c>
      <c r="I126">
        <v>3</v>
      </c>
      <c r="J126">
        <v>0.15</v>
      </c>
      <c r="K126">
        <v>5648.09</v>
      </c>
      <c r="L126" t="s">
        <v>31</v>
      </c>
    </row>
    <row r="127" spans="1:12" x14ac:dyDescent="0.3">
      <c r="A127" t="s">
        <v>256</v>
      </c>
      <c r="B127" s="2">
        <v>45749.182364729459</v>
      </c>
      <c r="C127" t="s">
        <v>207</v>
      </c>
      <c r="D127" t="s">
        <v>49</v>
      </c>
      <c r="E127" t="s">
        <v>50</v>
      </c>
      <c r="F127" t="s">
        <v>30</v>
      </c>
      <c r="G127" t="s">
        <v>17</v>
      </c>
      <c r="H127">
        <v>145614.75</v>
      </c>
      <c r="I127">
        <v>5</v>
      </c>
      <c r="J127">
        <v>0</v>
      </c>
      <c r="K127">
        <v>30435.06</v>
      </c>
      <c r="L127" t="s">
        <v>51</v>
      </c>
    </row>
    <row r="128" spans="1:12" x14ac:dyDescent="0.3">
      <c r="A128" t="s">
        <v>257</v>
      </c>
      <c r="B128" s="2">
        <v>45749.911823647293</v>
      </c>
      <c r="C128" t="s">
        <v>37</v>
      </c>
      <c r="D128" t="s">
        <v>43</v>
      </c>
      <c r="E128" t="s">
        <v>44</v>
      </c>
      <c r="F128" t="s">
        <v>75</v>
      </c>
      <c r="G128" t="s">
        <v>24</v>
      </c>
      <c r="H128">
        <v>30798.62</v>
      </c>
      <c r="I128">
        <v>5</v>
      </c>
      <c r="J128">
        <v>0.2</v>
      </c>
      <c r="K128">
        <v>3189.2</v>
      </c>
      <c r="L128" t="s">
        <v>51</v>
      </c>
    </row>
    <row r="129" spans="1:12" x14ac:dyDescent="0.3">
      <c r="A129" t="s">
        <v>258</v>
      </c>
      <c r="B129" s="2">
        <v>45750.641282565128</v>
      </c>
      <c r="C129" t="s">
        <v>210</v>
      </c>
      <c r="D129" t="s">
        <v>90</v>
      </c>
      <c r="E129" t="s">
        <v>44</v>
      </c>
      <c r="F129" t="s">
        <v>106</v>
      </c>
      <c r="G129" t="s">
        <v>35</v>
      </c>
      <c r="H129">
        <v>1618.77</v>
      </c>
      <c r="I129">
        <v>1</v>
      </c>
      <c r="J129">
        <v>0.1</v>
      </c>
      <c r="K129">
        <v>164.01</v>
      </c>
      <c r="L129" t="s">
        <v>18</v>
      </c>
    </row>
    <row r="130" spans="1:12" x14ac:dyDescent="0.3">
      <c r="A130" t="s">
        <v>259</v>
      </c>
      <c r="B130" s="2">
        <v>45751.370741482962</v>
      </c>
      <c r="C130" t="s">
        <v>216</v>
      </c>
      <c r="D130" t="s">
        <v>38</v>
      </c>
      <c r="E130" t="s">
        <v>39</v>
      </c>
      <c r="F130" t="s">
        <v>56</v>
      </c>
      <c r="G130" t="s">
        <v>35</v>
      </c>
      <c r="H130">
        <v>2501.0100000000002</v>
      </c>
      <c r="I130">
        <v>3</v>
      </c>
      <c r="J130">
        <v>0.1</v>
      </c>
      <c r="K130">
        <v>532.73</v>
      </c>
      <c r="L130" t="s">
        <v>68</v>
      </c>
    </row>
    <row r="131" spans="1:12" x14ac:dyDescent="0.3">
      <c r="A131" t="s">
        <v>260</v>
      </c>
      <c r="B131" s="2">
        <v>45752.100200400797</v>
      </c>
      <c r="C131" t="s">
        <v>261</v>
      </c>
      <c r="D131" t="s">
        <v>90</v>
      </c>
      <c r="E131" t="s">
        <v>44</v>
      </c>
      <c r="F131" t="s">
        <v>45</v>
      </c>
      <c r="G131" t="s">
        <v>46</v>
      </c>
      <c r="H131">
        <v>1085.56</v>
      </c>
      <c r="I131">
        <v>5</v>
      </c>
      <c r="J131">
        <v>0.1</v>
      </c>
      <c r="K131">
        <v>97.04</v>
      </c>
      <c r="L131" t="s">
        <v>18</v>
      </c>
    </row>
    <row r="132" spans="1:12" x14ac:dyDescent="0.3">
      <c r="A132" t="s">
        <v>262</v>
      </c>
      <c r="B132" s="2">
        <v>45752.829659318631</v>
      </c>
      <c r="C132" t="s">
        <v>232</v>
      </c>
      <c r="D132" t="s">
        <v>90</v>
      </c>
      <c r="E132" t="s">
        <v>44</v>
      </c>
      <c r="F132" t="s">
        <v>40</v>
      </c>
      <c r="G132" t="s">
        <v>17</v>
      </c>
      <c r="H132">
        <v>12886.82</v>
      </c>
      <c r="I132">
        <v>5</v>
      </c>
      <c r="J132">
        <v>0</v>
      </c>
      <c r="K132">
        <v>2034.3</v>
      </c>
      <c r="L132" t="s">
        <v>31</v>
      </c>
    </row>
    <row r="133" spans="1:12" x14ac:dyDescent="0.3">
      <c r="A133" t="s">
        <v>263</v>
      </c>
      <c r="B133" s="2">
        <v>45753.559118236473</v>
      </c>
      <c r="C133" t="s">
        <v>210</v>
      </c>
      <c r="D133" t="s">
        <v>21</v>
      </c>
      <c r="E133" t="s">
        <v>22</v>
      </c>
      <c r="F133" t="s">
        <v>75</v>
      </c>
      <c r="G133" t="s">
        <v>24</v>
      </c>
      <c r="H133">
        <v>29107.42</v>
      </c>
      <c r="I133">
        <v>3</v>
      </c>
      <c r="J133">
        <v>0.05</v>
      </c>
      <c r="K133">
        <v>7882.8</v>
      </c>
      <c r="L133" t="s">
        <v>31</v>
      </c>
    </row>
    <row r="134" spans="1:12" x14ac:dyDescent="0.3">
      <c r="A134" t="s">
        <v>264</v>
      </c>
      <c r="B134" s="2">
        <v>45754.288577154308</v>
      </c>
      <c r="C134" t="s">
        <v>265</v>
      </c>
      <c r="D134" t="s">
        <v>73</v>
      </c>
      <c r="E134" t="s">
        <v>74</v>
      </c>
      <c r="F134" t="s">
        <v>16</v>
      </c>
      <c r="G134" t="s">
        <v>17</v>
      </c>
      <c r="H134">
        <v>42773.56</v>
      </c>
      <c r="I134">
        <v>4</v>
      </c>
      <c r="J134">
        <v>0.15</v>
      </c>
      <c r="K134">
        <v>10662.66</v>
      </c>
      <c r="L134" t="s">
        <v>31</v>
      </c>
    </row>
    <row r="135" spans="1:12" x14ac:dyDescent="0.3">
      <c r="A135" t="s">
        <v>266</v>
      </c>
      <c r="B135" s="2">
        <v>45755.018036072142</v>
      </c>
      <c r="C135" t="s">
        <v>267</v>
      </c>
      <c r="D135" t="s">
        <v>73</v>
      </c>
      <c r="E135" t="s">
        <v>74</v>
      </c>
      <c r="F135" t="s">
        <v>30</v>
      </c>
      <c r="G135" t="s">
        <v>17</v>
      </c>
      <c r="H135">
        <v>135847.41</v>
      </c>
      <c r="I135">
        <v>5</v>
      </c>
      <c r="J135">
        <v>0.05</v>
      </c>
      <c r="K135">
        <v>22083.18</v>
      </c>
      <c r="L135" t="s">
        <v>51</v>
      </c>
    </row>
    <row r="136" spans="1:12" x14ac:dyDescent="0.3">
      <c r="A136" t="s">
        <v>268</v>
      </c>
      <c r="B136" s="2">
        <v>45755.747494989977</v>
      </c>
      <c r="C136" t="s">
        <v>269</v>
      </c>
      <c r="D136" t="s">
        <v>38</v>
      </c>
      <c r="E136" t="s">
        <v>39</v>
      </c>
      <c r="F136" t="s">
        <v>75</v>
      </c>
      <c r="G136" t="s">
        <v>24</v>
      </c>
      <c r="H136">
        <v>25147.02</v>
      </c>
      <c r="I136">
        <v>3</v>
      </c>
      <c r="J136">
        <v>0.15</v>
      </c>
      <c r="K136">
        <v>5505.67</v>
      </c>
      <c r="L136" t="s">
        <v>25</v>
      </c>
    </row>
    <row r="137" spans="1:12" x14ac:dyDescent="0.3">
      <c r="A137" t="s">
        <v>270</v>
      </c>
      <c r="B137" s="2">
        <v>45756.476953907812</v>
      </c>
      <c r="C137" t="s">
        <v>154</v>
      </c>
      <c r="D137" t="s">
        <v>71</v>
      </c>
      <c r="E137" t="s">
        <v>55</v>
      </c>
      <c r="F137" t="s">
        <v>106</v>
      </c>
      <c r="G137" t="s">
        <v>35</v>
      </c>
      <c r="H137">
        <v>6291.24</v>
      </c>
      <c r="I137">
        <v>4</v>
      </c>
      <c r="J137">
        <v>0.2</v>
      </c>
      <c r="K137">
        <v>1497.33</v>
      </c>
      <c r="L137" t="s">
        <v>31</v>
      </c>
    </row>
    <row r="138" spans="1:12" x14ac:dyDescent="0.3">
      <c r="A138" t="s">
        <v>271</v>
      </c>
      <c r="B138" s="2">
        <v>45757.206412825653</v>
      </c>
      <c r="C138" t="s">
        <v>48</v>
      </c>
      <c r="D138" t="s">
        <v>61</v>
      </c>
      <c r="E138" t="s">
        <v>62</v>
      </c>
      <c r="F138" t="s">
        <v>23</v>
      </c>
      <c r="G138" t="s">
        <v>24</v>
      </c>
      <c r="H138">
        <v>32731.83</v>
      </c>
      <c r="I138">
        <v>3</v>
      </c>
      <c r="J138">
        <v>0.15</v>
      </c>
      <c r="K138">
        <v>6931.18</v>
      </c>
      <c r="L138" t="s">
        <v>31</v>
      </c>
    </row>
    <row r="139" spans="1:12" x14ac:dyDescent="0.3">
      <c r="A139" t="s">
        <v>272</v>
      </c>
      <c r="B139" s="2">
        <v>45757.935871743481</v>
      </c>
      <c r="C139" t="s">
        <v>118</v>
      </c>
      <c r="D139" t="s">
        <v>43</v>
      </c>
      <c r="E139" t="s">
        <v>44</v>
      </c>
      <c r="F139" t="s">
        <v>94</v>
      </c>
      <c r="G139" t="s">
        <v>46</v>
      </c>
      <c r="H139">
        <v>43985.42</v>
      </c>
      <c r="I139">
        <v>4</v>
      </c>
      <c r="J139">
        <v>0.2</v>
      </c>
      <c r="K139">
        <v>11823.8</v>
      </c>
      <c r="L139" t="s">
        <v>31</v>
      </c>
    </row>
    <row r="140" spans="1:12" x14ac:dyDescent="0.3">
      <c r="A140" t="s">
        <v>273</v>
      </c>
      <c r="B140" s="2">
        <v>45758.665330661323</v>
      </c>
      <c r="C140" t="s">
        <v>60</v>
      </c>
      <c r="D140" t="s">
        <v>14</v>
      </c>
      <c r="E140" t="s">
        <v>15</v>
      </c>
      <c r="F140" t="s">
        <v>45</v>
      </c>
      <c r="G140" t="s">
        <v>46</v>
      </c>
      <c r="H140">
        <v>1177.95</v>
      </c>
      <c r="I140">
        <v>5</v>
      </c>
      <c r="J140">
        <v>0.05</v>
      </c>
      <c r="K140">
        <v>122.63</v>
      </c>
      <c r="L140" t="s">
        <v>18</v>
      </c>
    </row>
    <row r="141" spans="1:12" x14ac:dyDescent="0.3">
      <c r="A141" t="s">
        <v>274</v>
      </c>
      <c r="B141" s="2">
        <v>45759.394789579157</v>
      </c>
      <c r="C141" t="s">
        <v>133</v>
      </c>
      <c r="D141" t="s">
        <v>49</v>
      </c>
      <c r="E141" t="s">
        <v>50</v>
      </c>
      <c r="F141" t="s">
        <v>30</v>
      </c>
      <c r="G141" t="s">
        <v>17</v>
      </c>
      <c r="H141">
        <v>96895.44</v>
      </c>
      <c r="I141">
        <v>3</v>
      </c>
      <c r="J141">
        <v>0.05</v>
      </c>
      <c r="K141">
        <v>24457.24</v>
      </c>
      <c r="L141" t="s">
        <v>51</v>
      </c>
    </row>
    <row r="142" spans="1:12" x14ac:dyDescent="0.3">
      <c r="A142" t="s">
        <v>275</v>
      </c>
      <c r="B142" s="2">
        <v>45760.124248496992</v>
      </c>
      <c r="C142" t="s">
        <v>144</v>
      </c>
      <c r="D142" t="s">
        <v>276</v>
      </c>
      <c r="E142" t="s">
        <v>22</v>
      </c>
      <c r="F142" t="s">
        <v>45</v>
      </c>
      <c r="G142" t="s">
        <v>46</v>
      </c>
      <c r="H142">
        <v>248.2</v>
      </c>
      <c r="I142">
        <v>1</v>
      </c>
      <c r="J142">
        <v>0.05</v>
      </c>
      <c r="K142">
        <v>47.69</v>
      </c>
      <c r="L142" t="s">
        <v>68</v>
      </c>
    </row>
    <row r="143" spans="1:12" x14ac:dyDescent="0.3">
      <c r="A143" t="s">
        <v>277</v>
      </c>
      <c r="B143" s="2">
        <v>45760.853707414833</v>
      </c>
      <c r="C143" t="s">
        <v>135</v>
      </c>
      <c r="D143" t="s">
        <v>21</v>
      </c>
      <c r="E143" t="s">
        <v>22</v>
      </c>
      <c r="F143" t="s">
        <v>23</v>
      </c>
      <c r="G143" t="s">
        <v>24</v>
      </c>
      <c r="H143">
        <v>25618.32</v>
      </c>
      <c r="I143">
        <v>2</v>
      </c>
      <c r="J143">
        <v>0</v>
      </c>
      <c r="K143">
        <v>3664.91</v>
      </c>
      <c r="L143" t="s">
        <v>68</v>
      </c>
    </row>
    <row r="144" spans="1:12" x14ac:dyDescent="0.3">
      <c r="A144" t="s">
        <v>278</v>
      </c>
      <c r="B144" s="2">
        <v>45761.583166332661</v>
      </c>
      <c r="C144" t="s">
        <v>247</v>
      </c>
      <c r="D144" t="s">
        <v>28</v>
      </c>
      <c r="E144" t="s">
        <v>29</v>
      </c>
      <c r="F144" t="s">
        <v>94</v>
      </c>
      <c r="G144" t="s">
        <v>46</v>
      </c>
      <c r="H144">
        <v>66157.679999999993</v>
      </c>
      <c r="I144">
        <v>5</v>
      </c>
      <c r="J144">
        <v>0.15</v>
      </c>
      <c r="K144">
        <v>13441.43</v>
      </c>
      <c r="L144" t="s">
        <v>18</v>
      </c>
    </row>
    <row r="145" spans="1:12" x14ac:dyDescent="0.3">
      <c r="A145" t="s">
        <v>279</v>
      </c>
      <c r="B145" s="2">
        <v>45762.312625250503</v>
      </c>
      <c r="C145" t="s">
        <v>33</v>
      </c>
      <c r="D145" t="s">
        <v>73</v>
      </c>
      <c r="E145" t="s">
        <v>74</v>
      </c>
      <c r="F145" t="s">
        <v>30</v>
      </c>
      <c r="G145" t="s">
        <v>17</v>
      </c>
      <c r="H145">
        <v>90105.26</v>
      </c>
      <c r="I145">
        <v>3</v>
      </c>
      <c r="J145">
        <v>0.1</v>
      </c>
      <c r="K145">
        <v>24131.41</v>
      </c>
      <c r="L145" t="s">
        <v>25</v>
      </c>
    </row>
    <row r="146" spans="1:12" x14ac:dyDescent="0.3">
      <c r="A146" t="s">
        <v>280</v>
      </c>
      <c r="B146" s="2">
        <v>45763.04208416833</v>
      </c>
      <c r="C146" t="s">
        <v>58</v>
      </c>
      <c r="D146" t="s">
        <v>90</v>
      </c>
      <c r="E146" t="s">
        <v>44</v>
      </c>
      <c r="F146" t="s">
        <v>106</v>
      </c>
      <c r="G146" t="s">
        <v>35</v>
      </c>
      <c r="H146">
        <v>6354.1</v>
      </c>
      <c r="I146">
        <v>4</v>
      </c>
      <c r="J146">
        <v>0.15</v>
      </c>
      <c r="K146">
        <v>1758.92</v>
      </c>
      <c r="L146" t="s">
        <v>25</v>
      </c>
    </row>
    <row r="147" spans="1:12" x14ac:dyDescent="0.3">
      <c r="A147" t="s">
        <v>281</v>
      </c>
      <c r="B147" s="2">
        <v>45763.771543086172</v>
      </c>
      <c r="C147" t="s">
        <v>282</v>
      </c>
      <c r="D147" t="s">
        <v>114</v>
      </c>
      <c r="E147" t="s">
        <v>114</v>
      </c>
      <c r="F147" t="s">
        <v>87</v>
      </c>
      <c r="G147" t="s">
        <v>17</v>
      </c>
      <c r="H147">
        <v>46144.18</v>
      </c>
      <c r="I147">
        <v>1</v>
      </c>
      <c r="J147">
        <v>0.05</v>
      </c>
      <c r="K147">
        <v>6342.42</v>
      </c>
      <c r="L147" t="s">
        <v>68</v>
      </c>
    </row>
    <row r="148" spans="1:12" x14ac:dyDescent="0.3">
      <c r="A148" t="s">
        <v>283</v>
      </c>
      <c r="B148" s="2">
        <v>45764.501002004014</v>
      </c>
      <c r="C148" t="s">
        <v>232</v>
      </c>
      <c r="D148" t="s">
        <v>38</v>
      </c>
      <c r="E148" t="s">
        <v>39</v>
      </c>
      <c r="F148" t="s">
        <v>87</v>
      </c>
      <c r="G148" t="s">
        <v>17</v>
      </c>
      <c r="H148">
        <v>299475.24</v>
      </c>
      <c r="I148">
        <v>5</v>
      </c>
      <c r="J148">
        <v>0.05</v>
      </c>
      <c r="K148">
        <v>46977.279999999999</v>
      </c>
      <c r="L148" t="s">
        <v>25</v>
      </c>
    </row>
    <row r="149" spans="1:12" x14ac:dyDescent="0.3">
      <c r="A149" t="s">
        <v>284</v>
      </c>
      <c r="B149" s="2">
        <v>45765.230460921841</v>
      </c>
      <c r="C149" t="s">
        <v>250</v>
      </c>
      <c r="D149" t="s">
        <v>21</v>
      </c>
      <c r="E149" t="s">
        <v>22</v>
      </c>
      <c r="F149" t="s">
        <v>45</v>
      </c>
      <c r="G149" t="s">
        <v>46</v>
      </c>
      <c r="H149">
        <v>1357.38</v>
      </c>
      <c r="I149">
        <v>5</v>
      </c>
      <c r="J149">
        <v>0</v>
      </c>
      <c r="K149">
        <v>221.95</v>
      </c>
      <c r="L149" t="s">
        <v>18</v>
      </c>
    </row>
    <row r="150" spans="1:12" x14ac:dyDescent="0.3">
      <c r="A150" t="s">
        <v>285</v>
      </c>
      <c r="B150" s="2">
        <v>45765.959919839683</v>
      </c>
      <c r="C150" t="s">
        <v>210</v>
      </c>
      <c r="D150" t="s">
        <v>43</v>
      </c>
      <c r="E150" t="s">
        <v>44</v>
      </c>
      <c r="F150" t="s">
        <v>94</v>
      </c>
      <c r="G150" t="s">
        <v>46</v>
      </c>
      <c r="H150">
        <v>49561.27</v>
      </c>
      <c r="I150">
        <v>4</v>
      </c>
      <c r="J150">
        <v>0.05</v>
      </c>
      <c r="K150">
        <v>12269.64</v>
      </c>
      <c r="L150" t="s">
        <v>18</v>
      </c>
    </row>
    <row r="151" spans="1:12" x14ac:dyDescent="0.3">
      <c r="A151" t="s">
        <v>286</v>
      </c>
      <c r="B151" s="2">
        <v>45766.68937875751</v>
      </c>
      <c r="C151" t="s">
        <v>170</v>
      </c>
      <c r="D151" t="s">
        <v>73</v>
      </c>
      <c r="E151" t="s">
        <v>74</v>
      </c>
      <c r="F151" t="s">
        <v>34</v>
      </c>
      <c r="G151" t="s">
        <v>35</v>
      </c>
      <c r="H151">
        <v>3474.82</v>
      </c>
      <c r="I151">
        <v>2</v>
      </c>
      <c r="J151">
        <v>0</v>
      </c>
      <c r="K151">
        <v>943.25</v>
      </c>
      <c r="L151" t="s">
        <v>68</v>
      </c>
    </row>
    <row r="152" spans="1:12" x14ac:dyDescent="0.3">
      <c r="A152" t="s">
        <v>287</v>
      </c>
      <c r="B152" s="2">
        <v>45767.418837675337</v>
      </c>
      <c r="C152" t="s">
        <v>116</v>
      </c>
      <c r="D152" t="s">
        <v>114</v>
      </c>
      <c r="E152" t="s">
        <v>114</v>
      </c>
      <c r="F152" t="s">
        <v>56</v>
      </c>
      <c r="G152" t="s">
        <v>35</v>
      </c>
      <c r="H152">
        <v>814.44</v>
      </c>
      <c r="I152">
        <v>1</v>
      </c>
      <c r="J152">
        <v>0.1</v>
      </c>
      <c r="K152">
        <v>150.68</v>
      </c>
      <c r="L152" t="s">
        <v>18</v>
      </c>
    </row>
    <row r="153" spans="1:12" x14ac:dyDescent="0.3">
      <c r="A153" t="s">
        <v>288</v>
      </c>
      <c r="B153" s="2">
        <v>45768.148296593186</v>
      </c>
      <c r="C153" t="s">
        <v>194</v>
      </c>
      <c r="D153" t="s">
        <v>43</v>
      </c>
      <c r="E153" t="s">
        <v>44</v>
      </c>
      <c r="F153" t="s">
        <v>30</v>
      </c>
      <c r="G153" t="s">
        <v>17</v>
      </c>
      <c r="H153">
        <v>22852.3</v>
      </c>
      <c r="I153">
        <v>1</v>
      </c>
      <c r="J153">
        <v>0.15</v>
      </c>
      <c r="K153">
        <v>2853.98</v>
      </c>
      <c r="L153" t="s">
        <v>31</v>
      </c>
    </row>
    <row r="154" spans="1:12" x14ac:dyDescent="0.3">
      <c r="A154" t="s">
        <v>289</v>
      </c>
      <c r="B154" s="2">
        <v>45768.877755511021</v>
      </c>
      <c r="C154" t="s">
        <v>290</v>
      </c>
      <c r="D154" t="s">
        <v>54</v>
      </c>
      <c r="E154" t="s">
        <v>55</v>
      </c>
      <c r="F154" t="s">
        <v>106</v>
      </c>
      <c r="G154" t="s">
        <v>35</v>
      </c>
      <c r="H154">
        <v>3376.33</v>
      </c>
      <c r="I154">
        <v>2</v>
      </c>
      <c r="J154">
        <v>0.05</v>
      </c>
      <c r="K154">
        <v>454.43</v>
      </c>
      <c r="L154" t="s">
        <v>31</v>
      </c>
    </row>
    <row r="155" spans="1:12" x14ac:dyDescent="0.3">
      <c r="A155" t="s">
        <v>291</v>
      </c>
      <c r="B155" s="2">
        <v>45769.607214428863</v>
      </c>
      <c r="C155" t="s">
        <v>265</v>
      </c>
      <c r="D155" t="s">
        <v>43</v>
      </c>
      <c r="E155" t="s">
        <v>44</v>
      </c>
      <c r="F155" t="s">
        <v>63</v>
      </c>
      <c r="G155" t="s">
        <v>17</v>
      </c>
      <c r="H155">
        <v>43277.05</v>
      </c>
      <c r="I155">
        <v>2</v>
      </c>
      <c r="J155">
        <v>0.1</v>
      </c>
      <c r="K155">
        <v>8230.06</v>
      </c>
      <c r="L155" t="s">
        <v>25</v>
      </c>
    </row>
    <row r="156" spans="1:12" x14ac:dyDescent="0.3">
      <c r="A156" t="s">
        <v>292</v>
      </c>
      <c r="B156" s="2">
        <v>45770.33667334669</v>
      </c>
      <c r="C156" t="s">
        <v>293</v>
      </c>
      <c r="D156" t="s">
        <v>28</v>
      </c>
      <c r="E156" t="s">
        <v>29</v>
      </c>
      <c r="F156" t="s">
        <v>23</v>
      </c>
      <c r="G156" t="s">
        <v>24</v>
      </c>
      <c r="H156">
        <v>36492.29</v>
      </c>
      <c r="I156">
        <v>3</v>
      </c>
      <c r="J156">
        <v>0.05</v>
      </c>
      <c r="K156">
        <v>3510.9</v>
      </c>
      <c r="L156" t="s">
        <v>68</v>
      </c>
    </row>
    <row r="157" spans="1:12" x14ac:dyDescent="0.3">
      <c r="A157" t="s">
        <v>294</v>
      </c>
      <c r="B157" s="2">
        <v>45771.066132264517</v>
      </c>
      <c r="C157" t="s">
        <v>250</v>
      </c>
      <c r="D157" t="s">
        <v>90</v>
      </c>
      <c r="E157" t="s">
        <v>44</v>
      </c>
      <c r="F157" t="s">
        <v>30</v>
      </c>
      <c r="G157" t="s">
        <v>17</v>
      </c>
      <c r="H157">
        <v>134213.76000000001</v>
      </c>
      <c r="I157">
        <v>5</v>
      </c>
      <c r="J157">
        <v>0.1</v>
      </c>
      <c r="K157">
        <v>32873.81</v>
      </c>
      <c r="L157" t="s">
        <v>51</v>
      </c>
    </row>
    <row r="158" spans="1:12" x14ac:dyDescent="0.3">
      <c r="A158" t="s">
        <v>295</v>
      </c>
      <c r="B158" s="2">
        <v>45771.795591182359</v>
      </c>
      <c r="C158" t="s">
        <v>160</v>
      </c>
      <c r="D158" t="s">
        <v>49</v>
      </c>
      <c r="E158" t="s">
        <v>50</v>
      </c>
      <c r="F158" t="s">
        <v>34</v>
      </c>
      <c r="G158" t="s">
        <v>35</v>
      </c>
      <c r="H158">
        <v>7115.33</v>
      </c>
      <c r="I158">
        <v>5</v>
      </c>
      <c r="J158">
        <v>0.15</v>
      </c>
      <c r="K158">
        <v>1704.02</v>
      </c>
      <c r="L158" t="s">
        <v>18</v>
      </c>
    </row>
    <row r="159" spans="1:12" x14ac:dyDescent="0.3">
      <c r="A159" t="s">
        <v>296</v>
      </c>
      <c r="B159" s="2">
        <v>45772.525050100186</v>
      </c>
      <c r="C159" t="s">
        <v>238</v>
      </c>
      <c r="D159" t="s">
        <v>21</v>
      </c>
      <c r="E159" t="s">
        <v>22</v>
      </c>
      <c r="F159" t="s">
        <v>94</v>
      </c>
      <c r="G159" t="s">
        <v>46</v>
      </c>
      <c r="H159">
        <v>74324.52</v>
      </c>
      <c r="I159">
        <v>5</v>
      </c>
      <c r="J159">
        <v>0.1</v>
      </c>
      <c r="K159">
        <v>16056.19</v>
      </c>
      <c r="L159" t="s">
        <v>25</v>
      </c>
    </row>
    <row r="160" spans="1:12" x14ac:dyDescent="0.3">
      <c r="A160" t="s">
        <v>297</v>
      </c>
      <c r="B160" s="2">
        <v>45773.254509018043</v>
      </c>
      <c r="C160" t="s">
        <v>298</v>
      </c>
      <c r="D160" t="s">
        <v>14</v>
      </c>
      <c r="E160" t="s">
        <v>15</v>
      </c>
      <c r="F160" t="s">
        <v>106</v>
      </c>
      <c r="G160" t="s">
        <v>35</v>
      </c>
      <c r="H160">
        <v>5839.96</v>
      </c>
      <c r="I160">
        <v>3</v>
      </c>
      <c r="J160">
        <v>0.05</v>
      </c>
      <c r="K160">
        <v>1493.95</v>
      </c>
      <c r="L160" t="s">
        <v>18</v>
      </c>
    </row>
    <row r="161" spans="1:12" x14ac:dyDescent="0.3">
      <c r="A161" t="s">
        <v>299</v>
      </c>
      <c r="B161" s="2">
        <v>45773.98396793587</v>
      </c>
      <c r="C161" t="s">
        <v>156</v>
      </c>
      <c r="D161" t="s">
        <v>114</v>
      </c>
      <c r="E161" t="s">
        <v>114</v>
      </c>
      <c r="F161" t="s">
        <v>75</v>
      </c>
      <c r="G161" t="s">
        <v>24</v>
      </c>
      <c r="H161">
        <v>16759.47</v>
      </c>
      <c r="I161">
        <v>2</v>
      </c>
      <c r="J161">
        <v>0.15</v>
      </c>
      <c r="K161">
        <v>3041.74</v>
      </c>
      <c r="L161" t="s">
        <v>68</v>
      </c>
    </row>
    <row r="162" spans="1:12" x14ac:dyDescent="0.3">
      <c r="A162" t="s">
        <v>300</v>
      </c>
      <c r="B162" s="2">
        <v>45774.713426853697</v>
      </c>
      <c r="C162" t="s">
        <v>243</v>
      </c>
      <c r="D162" t="s">
        <v>21</v>
      </c>
      <c r="E162" t="s">
        <v>22</v>
      </c>
      <c r="F162" t="s">
        <v>87</v>
      </c>
      <c r="G162" t="s">
        <v>17</v>
      </c>
      <c r="H162">
        <v>54316.17</v>
      </c>
      <c r="I162">
        <v>1</v>
      </c>
      <c r="J162">
        <v>0.05</v>
      </c>
      <c r="K162">
        <v>11232.65</v>
      </c>
      <c r="L162" t="s">
        <v>18</v>
      </c>
    </row>
    <row r="163" spans="1:12" x14ac:dyDescent="0.3">
      <c r="A163" t="s">
        <v>301</v>
      </c>
      <c r="B163" s="2">
        <v>45775.442885771539</v>
      </c>
      <c r="C163" t="s">
        <v>110</v>
      </c>
      <c r="D163" t="s">
        <v>14</v>
      </c>
      <c r="E163" t="s">
        <v>15</v>
      </c>
      <c r="F163" t="s">
        <v>45</v>
      </c>
      <c r="G163" t="s">
        <v>46</v>
      </c>
      <c r="H163">
        <v>270.48</v>
      </c>
      <c r="I163">
        <v>1</v>
      </c>
      <c r="J163">
        <v>0.05</v>
      </c>
      <c r="K163">
        <v>55.86</v>
      </c>
      <c r="L163" t="s">
        <v>25</v>
      </c>
    </row>
    <row r="164" spans="1:12" x14ac:dyDescent="0.3">
      <c r="A164" t="s">
        <v>302</v>
      </c>
      <c r="B164" s="2">
        <v>45776.172344689367</v>
      </c>
      <c r="C164" t="s">
        <v>190</v>
      </c>
      <c r="D164" t="s">
        <v>54</v>
      </c>
      <c r="E164" t="s">
        <v>55</v>
      </c>
      <c r="F164" t="s">
        <v>16</v>
      </c>
      <c r="G164" t="s">
        <v>17</v>
      </c>
      <c r="H164">
        <v>31757.3</v>
      </c>
      <c r="I164">
        <v>2</v>
      </c>
      <c r="J164">
        <v>0</v>
      </c>
      <c r="K164">
        <v>7437.46</v>
      </c>
      <c r="L164" t="s">
        <v>31</v>
      </c>
    </row>
    <row r="165" spans="1:12" x14ac:dyDescent="0.3">
      <c r="A165" t="s">
        <v>303</v>
      </c>
      <c r="B165" s="2">
        <v>45776.901803607208</v>
      </c>
      <c r="C165" t="s">
        <v>93</v>
      </c>
      <c r="D165" t="s">
        <v>28</v>
      </c>
      <c r="E165" t="s">
        <v>29</v>
      </c>
      <c r="F165" t="s">
        <v>45</v>
      </c>
      <c r="G165" t="s">
        <v>46</v>
      </c>
      <c r="H165">
        <v>663.43</v>
      </c>
      <c r="I165">
        <v>3</v>
      </c>
      <c r="J165">
        <v>0.2</v>
      </c>
      <c r="K165">
        <v>142.78</v>
      </c>
      <c r="L165" t="s">
        <v>18</v>
      </c>
    </row>
    <row r="166" spans="1:12" x14ac:dyDescent="0.3">
      <c r="A166" t="s">
        <v>304</v>
      </c>
      <c r="B166" s="2">
        <v>45777.631262525043</v>
      </c>
      <c r="C166" t="s">
        <v>139</v>
      </c>
      <c r="D166" t="s">
        <v>71</v>
      </c>
      <c r="E166" t="s">
        <v>55</v>
      </c>
      <c r="F166" t="s">
        <v>16</v>
      </c>
      <c r="G166" t="s">
        <v>17</v>
      </c>
      <c r="H166">
        <v>67555.86</v>
      </c>
      <c r="I166">
        <v>5</v>
      </c>
      <c r="J166">
        <v>0</v>
      </c>
      <c r="K166">
        <v>16504.07</v>
      </c>
      <c r="L166" t="s">
        <v>51</v>
      </c>
    </row>
    <row r="167" spans="1:12" x14ac:dyDescent="0.3">
      <c r="A167" t="s">
        <v>305</v>
      </c>
      <c r="B167" s="2">
        <v>45778.360721442878</v>
      </c>
      <c r="C167" t="s">
        <v>126</v>
      </c>
      <c r="D167" t="s">
        <v>43</v>
      </c>
      <c r="E167" t="s">
        <v>44</v>
      </c>
      <c r="F167" t="s">
        <v>30</v>
      </c>
      <c r="G167" t="s">
        <v>17</v>
      </c>
      <c r="H167">
        <v>169993.66</v>
      </c>
      <c r="I167">
        <v>5</v>
      </c>
      <c r="J167">
        <v>0</v>
      </c>
      <c r="K167">
        <v>42641.54</v>
      </c>
      <c r="L167" t="s">
        <v>51</v>
      </c>
    </row>
    <row r="168" spans="1:12" x14ac:dyDescent="0.3">
      <c r="A168" t="s">
        <v>306</v>
      </c>
      <c r="B168" s="2">
        <v>45779.090180360719</v>
      </c>
      <c r="C168" t="s">
        <v>293</v>
      </c>
      <c r="D168" t="s">
        <v>54</v>
      </c>
      <c r="E168" t="s">
        <v>55</v>
      </c>
      <c r="F168" t="s">
        <v>56</v>
      </c>
      <c r="G168" t="s">
        <v>35</v>
      </c>
      <c r="H168">
        <v>2013.07</v>
      </c>
      <c r="I168">
        <v>3</v>
      </c>
      <c r="J168">
        <v>0.2</v>
      </c>
      <c r="K168">
        <v>221.86</v>
      </c>
      <c r="L168" t="s">
        <v>68</v>
      </c>
    </row>
    <row r="169" spans="1:12" x14ac:dyDescent="0.3">
      <c r="A169" t="s">
        <v>307</v>
      </c>
      <c r="B169" s="2">
        <v>45779.819639278547</v>
      </c>
      <c r="C169" t="s">
        <v>261</v>
      </c>
      <c r="D169" t="s">
        <v>21</v>
      </c>
      <c r="E169" t="s">
        <v>22</v>
      </c>
      <c r="F169" t="s">
        <v>16</v>
      </c>
      <c r="G169" t="s">
        <v>17</v>
      </c>
      <c r="H169">
        <v>31324.09</v>
      </c>
      <c r="I169">
        <v>3</v>
      </c>
      <c r="J169">
        <v>0.2</v>
      </c>
      <c r="K169">
        <v>5070.33</v>
      </c>
      <c r="L169" t="s">
        <v>51</v>
      </c>
    </row>
    <row r="170" spans="1:12" x14ac:dyDescent="0.3">
      <c r="A170" t="s">
        <v>308</v>
      </c>
      <c r="B170" s="2">
        <v>45780.549098196389</v>
      </c>
      <c r="C170" t="s">
        <v>267</v>
      </c>
      <c r="D170" t="s">
        <v>71</v>
      </c>
      <c r="E170" t="s">
        <v>55</v>
      </c>
      <c r="F170" t="s">
        <v>87</v>
      </c>
      <c r="G170" t="s">
        <v>17</v>
      </c>
      <c r="H170">
        <v>52691.62</v>
      </c>
      <c r="I170">
        <v>1</v>
      </c>
      <c r="J170">
        <v>0.1</v>
      </c>
      <c r="K170">
        <v>9184.49</v>
      </c>
      <c r="L170" t="s">
        <v>25</v>
      </c>
    </row>
    <row r="171" spans="1:12" x14ac:dyDescent="0.3">
      <c r="A171" t="s">
        <v>309</v>
      </c>
      <c r="B171" s="2">
        <v>45781.278557114223</v>
      </c>
      <c r="C171" t="s">
        <v>77</v>
      </c>
      <c r="D171" t="s">
        <v>38</v>
      </c>
      <c r="E171" t="s">
        <v>39</v>
      </c>
      <c r="F171" t="s">
        <v>87</v>
      </c>
      <c r="G171" t="s">
        <v>17</v>
      </c>
      <c r="H171">
        <v>253146.35</v>
      </c>
      <c r="I171">
        <v>5</v>
      </c>
      <c r="J171">
        <v>0.15</v>
      </c>
      <c r="K171">
        <v>63022.47</v>
      </c>
      <c r="L171" t="s">
        <v>18</v>
      </c>
    </row>
    <row r="172" spans="1:12" x14ac:dyDescent="0.3">
      <c r="A172" t="s">
        <v>310</v>
      </c>
      <c r="B172" s="2">
        <v>45782.008016032058</v>
      </c>
      <c r="C172" t="s">
        <v>311</v>
      </c>
      <c r="D172" t="s">
        <v>61</v>
      </c>
      <c r="E172" t="s">
        <v>62</v>
      </c>
      <c r="F172" t="s">
        <v>106</v>
      </c>
      <c r="G172" t="s">
        <v>35</v>
      </c>
      <c r="H172">
        <v>8209.82</v>
      </c>
      <c r="I172">
        <v>4</v>
      </c>
      <c r="J172">
        <v>0</v>
      </c>
      <c r="K172">
        <v>1415.53</v>
      </c>
      <c r="L172" t="s">
        <v>25</v>
      </c>
    </row>
    <row r="173" spans="1:12" x14ac:dyDescent="0.3">
      <c r="A173" t="s">
        <v>312</v>
      </c>
      <c r="B173" s="2">
        <v>45782.737474949892</v>
      </c>
      <c r="C173" t="s">
        <v>210</v>
      </c>
      <c r="D173" t="s">
        <v>54</v>
      </c>
      <c r="E173" t="s">
        <v>55</v>
      </c>
      <c r="F173" t="s">
        <v>16</v>
      </c>
      <c r="G173" t="s">
        <v>17</v>
      </c>
      <c r="H173">
        <v>12105.09</v>
      </c>
      <c r="I173">
        <v>1</v>
      </c>
      <c r="J173">
        <v>0.05</v>
      </c>
      <c r="K173">
        <v>1123.8599999999999</v>
      </c>
      <c r="L173" t="s">
        <v>68</v>
      </c>
    </row>
    <row r="174" spans="1:12" x14ac:dyDescent="0.3">
      <c r="A174" t="s">
        <v>313</v>
      </c>
      <c r="B174" s="2">
        <v>45783.466933867727</v>
      </c>
      <c r="C174" t="s">
        <v>86</v>
      </c>
      <c r="D174" t="s">
        <v>43</v>
      </c>
      <c r="E174" t="s">
        <v>44</v>
      </c>
      <c r="F174" t="s">
        <v>23</v>
      </c>
      <c r="G174" t="s">
        <v>24</v>
      </c>
      <c r="H174">
        <v>41231</v>
      </c>
      <c r="I174">
        <v>3</v>
      </c>
      <c r="J174">
        <v>0</v>
      </c>
      <c r="K174">
        <v>7129.65</v>
      </c>
      <c r="L174" t="s">
        <v>18</v>
      </c>
    </row>
    <row r="175" spans="1:12" x14ac:dyDescent="0.3">
      <c r="A175" t="s">
        <v>314</v>
      </c>
      <c r="B175" s="2">
        <v>45784.196392785569</v>
      </c>
      <c r="C175" t="s">
        <v>194</v>
      </c>
      <c r="D175" t="s">
        <v>38</v>
      </c>
      <c r="E175" t="s">
        <v>39</v>
      </c>
      <c r="F175" t="s">
        <v>87</v>
      </c>
      <c r="G175" t="s">
        <v>17</v>
      </c>
      <c r="H175">
        <v>238470.17</v>
      </c>
      <c r="I175">
        <v>4</v>
      </c>
      <c r="J175">
        <v>0</v>
      </c>
      <c r="K175">
        <v>41994.93</v>
      </c>
      <c r="L175" t="s">
        <v>31</v>
      </c>
    </row>
    <row r="176" spans="1:12" x14ac:dyDescent="0.3">
      <c r="A176" t="s">
        <v>315</v>
      </c>
      <c r="B176" s="2">
        <v>45784.925851703403</v>
      </c>
      <c r="C176" t="s">
        <v>316</v>
      </c>
      <c r="D176" t="s">
        <v>61</v>
      </c>
      <c r="E176" t="s">
        <v>62</v>
      </c>
      <c r="F176" t="s">
        <v>94</v>
      </c>
      <c r="G176" t="s">
        <v>46</v>
      </c>
      <c r="H176">
        <v>57279.93</v>
      </c>
      <c r="I176">
        <v>4</v>
      </c>
      <c r="J176">
        <v>0.1</v>
      </c>
      <c r="K176">
        <v>4694.33</v>
      </c>
      <c r="L176" t="s">
        <v>51</v>
      </c>
    </row>
    <row r="177" spans="1:12" x14ac:dyDescent="0.3">
      <c r="A177" t="s">
        <v>317</v>
      </c>
      <c r="B177" s="2">
        <v>45785.655310621238</v>
      </c>
      <c r="C177" t="s">
        <v>89</v>
      </c>
      <c r="D177" t="s">
        <v>90</v>
      </c>
      <c r="E177" t="s">
        <v>44</v>
      </c>
      <c r="F177" t="s">
        <v>87</v>
      </c>
      <c r="G177" t="s">
        <v>17</v>
      </c>
      <c r="H177">
        <v>52535.34</v>
      </c>
      <c r="I177">
        <v>1</v>
      </c>
      <c r="J177">
        <v>0</v>
      </c>
      <c r="K177">
        <v>5028.46</v>
      </c>
      <c r="L177" t="s">
        <v>51</v>
      </c>
    </row>
    <row r="178" spans="1:12" x14ac:dyDescent="0.3">
      <c r="A178" t="s">
        <v>318</v>
      </c>
      <c r="B178" s="2">
        <v>45786.384769539072</v>
      </c>
      <c r="C178" t="s">
        <v>311</v>
      </c>
      <c r="D178" t="s">
        <v>28</v>
      </c>
      <c r="E178" t="s">
        <v>29</v>
      </c>
      <c r="F178" t="s">
        <v>75</v>
      </c>
      <c r="G178" t="s">
        <v>24</v>
      </c>
      <c r="H178">
        <v>16169.64</v>
      </c>
      <c r="I178">
        <v>2</v>
      </c>
      <c r="J178">
        <v>0.15</v>
      </c>
      <c r="K178">
        <v>1940.84</v>
      </c>
      <c r="L178" t="s">
        <v>18</v>
      </c>
    </row>
    <row r="179" spans="1:12" x14ac:dyDescent="0.3">
      <c r="A179" t="s">
        <v>319</v>
      </c>
      <c r="B179" s="2">
        <v>45787.114228456907</v>
      </c>
      <c r="C179" t="s">
        <v>20</v>
      </c>
      <c r="D179" t="s">
        <v>71</v>
      </c>
      <c r="E179" t="s">
        <v>55</v>
      </c>
      <c r="F179" t="s">
        <v>34</v>
      </c>
      <c r="G179" t="s">
        <v>35</v>
      </c>
      <c r="H179">
        <v>2035.55</v>
      </c>
      <c r="I179">
        <v>1</v>
      </c>
      <c r="J179">
        <v>0</v>
      </c>
      <c r="K179">
        <v>383.21</v>
      </c>
      <c r="L179" t="s">
        <v>51</v>
      </c>
    </row>
    <row r="180" spans="1:12" x14ac:dyDescent="0.3">
      <c r="A180" t="s">
        <v>320</v>
      </c>
      <c r="B180" s="2">
        <v>45787.843687374749</v>
      </c>
      <c r="C180" t="s">
        <v>113</v>
      </c>
      <c r="D180" t="s">
        <v>61</v>
      </c>
      <c r="E180" t="s">
        <v>62</v>
      </c>
      <c r="F180" t="s">
        <v>16</v>
      </c>
      <c r="G180" t="s">
        <v>17</v>
      </c>
      <c r="H180">
        <v>37623.08</v>
      </c>
      <c r="I180">
        <v>3</v>
      </c>
      <c r="J180">
        <v>0.1</v>
      </c>
      <c r="K180">
        <v>7170.97</v>
      </c>
      <c r="L180" t="s">
        <v>51</v>
      </c>
    </row>
    <row r="181" spans="1:12" x14ac:dyDescent="0.3">
      <c r="A181" t="s">
        <v>321</v>
      </c>
      <c r="B181" s="2">
        <v>45788.573146292583</v>
      </c>
      <c r="C181" t="s">
        <v>60</v>
      </c>
      <c r="D181" t="s">
        <v>71</v>
      </c>
      <c r="E181" t="s">
        <v>55</v>
      </c>
      <c r="F181" t="s">
        <v>94</v>
      </c>
      <c r="G181" t="s">
        <v>46</v>
      </c>
      <c r="H181">
        <v>64168.61</v>
      </c>
      <c r="I181">
        <v>4</v>
      </c>
      <c r="J181">
        <v>0</v>
      </c>
      <c r="K181">
        <v>5908.03</v>
      </c>
      <c r="L181" t="s">
        <v>68</v>
      </c>
    </row>
    <row r="182" spans="1:12" x14ac:dyDescent="0.3">
      <c r="A182" t="s">
        <v>322</v>
      </c>
      <c r="B182" s="2">
        <v>45789.302605210418</v>
      </c>
      <c r="C182" t="s">
        <v>202</v>
      </c>
      <c r="D182" t="s">
        <v>71</v>
      </c>
      <c r="E182" t="s">
        <v>55</v>
      </c>
      <c r="F182" t="s">
        <v>45</v>
      </c>
      <c r="G182" t="s">
        <v>46</v>
      </c>
      <c r="H182">
        <v>814.22</v>
      </c>
      <c r="I182">
        <v>3</v>
      </c>
      <c r="J182">
        <v>0.05</v>
      </c>
      <c r="K182">
        <v>94.79</v>
      </c>
      <c r="L182" t="s">
        <v>18</v>
      </c>
    </row>
    <row r="183" spans="1:12" x14ac:dyDescent="0.3">
      <c r="A183" t="s">
        <v>323</v>
      </c>
      <c r="B183" s="2">
        <v>45790.032064128252</v>
      </c>
      <c r="C183" t="s">
        <v>192</v>
      </c>
      <c r="D183" t="s">
        <v>61</v>
      </c>
      <c r="E183" t="s">
        <v>62</v>
      </c>
      <c r="F183" t="s">
        <v>30</v>
      </c>
      <c r="G183" t="s">
        <v>17</v>
      </c>
      <c r="H183">
        <v>59620.79</v>
      </c>
      <c r="I183">
        <v>2</v>
      </c>
      <c r="J183">
        <v>0.05</v>
      </c>
      <c r="K183">
        <v>11238.26</v>
      </c>
      <c r="L183" t="s">
        <v>25</v>
      </c>
    </row>
    <row r="184" spans="1:12" x14ac:dyDescent="0.3">
      <c r="A184" t="s">
        <v>324</v>
      </c>
      <c r="B184" s="2">
        <v>45790.761523046087</v>
      </c>
      <c r="C184" t="s">
        <v>311</v>
      </c>
      <c r="D184" t="s">
        <v>73</v>
      </c>
      <c r="E184" t="s">
        <v>74</v>
      </c>
      <c r="F184" t="s">
        <v>40</v>
      </c>
      <c r="G184" t="s">
        <v>17</v>
      </c>
      <c r="H184">
        <v>6527.7</v>
      </c>
      <c r="I184">
        <v>3</v>
      </c>
      <c r="J184">
        <v>0.05</v>
      </c>
      <c r="K184">
        <v>788</v>
      </c>
      <c r="L184" t="s">
        <v>68</v>
      </c>
    </row>
    <row r="185" spans="1:12" x14ac:dyDescent="0.3">
      <c r="A185" t="s">
        <v>325</v>
      </c>
      <c r="B185" s="2">
        <v>45791.490981963922</v>
      </c>
      <c r="C185" t="s">
        <v>83</v>
      </c>
      <c r="D185" t="s">
        <v>73</v>
      </c>
      <c r="E185" t="s">
        <v>74</v>
      </c>
      <c r="F185" t="s">
        <v>23</v>
      </c>
      <c r="G185" t="s">
        <v>24</v>
      </c>
      <c r="H185">
        <v>44868.79</v>
      </c>
      <c r="I185">
        <v>4</v>
      </c>
      <c r="J185">
        <v>0.1</v>
      </c>
      <c r="K185">
        <v>10478.870000000001</v>
      </c>
      <c r="L185" t="s">
        <v>51</v>
      </c>
    </row>
    <row r="186" spans="1:12" x14ac:dyDescent="0.3">
      <c r="A186" t="s">
        <v>326</v>
      </c>
      <c r="B186" s="2">
        <v>45792.220440881763</v>
      </c>
      <c r="C186" t="s">
        <v>327</v>
      </c>
      <c r="D186" t="s">
        <v>90</v>
      </c>
      <c r="E186" t="s">
        <v>44</v>
      </c>
      <c r="F186" t="s">
        <v>40</v>
      </c>
      <c r="G186" t="s">
        <v>17</v>
      </c>
      <c r="H186">
        <v>2208.56</v>
      </c>
      <c r="I186">
        <v>1</v>
      </c>
      <c r="J186">
        <v>0.1</v>
      </c>
      <c r="K186">
        <v>391.65</v>
      </c>
      <c r="L186" t="s">
        <v>25</v>
      </c>
    </row>
    <row r="187" spans="1:12" x14ac:dyDescent="0.3">
      <c r="A187" t="s">
        <v>328</v>
      </c>
      <c r="B187" s="2">
        <v>45792.949899799598</v>
      </c>
      <c r="C187" t="s">
        <v>329</v>
      </c>
      <c r="D187" t="s">
        <v>28</v>
      </c>
      <c r="E187" t="s">
        <v>29</v>
      </c>
      <c r="F187" t="s">
        <v>75</v>
      </c>
      <c r="G187" t="s">
        <v>24</v>
      </c>
      <c r="H187">
        <v>19624.64</v>
      </c>
      <c r="I187">
        <v>2</v>
      </c>
      <c r="J187">
        <v>0.05</v>
      </c>
      <c r="K187">
        <v>2979.61</v>
      </c>
      <c r="L187" t="s">
        <v>68</v>
      </c>
    </row>
    <row r="188" spans="1:12" x14ac:dyDescent="0.3">
      <c r="A188" t="s">
        <v>330</v>
      </c>
      <c r="B188" s="2">
        <v>45793.679358717432</v>
      </c>
      <c r="C188" t="s">
        <v>186</v>
      </c>
      <c r="D188" t="s">
        <v>90</v>
      </c>
      <c r="E188" t="s">
        <v>44</v>
      </c>
      <c r="F188" t="s">
        <v>40</v>
      </c>
      <c r="G188" t="s">
        <v>17</v>
      </c>
      <c r="H188">
        <v>4258.99</v>
      </c>
      <c r="I188">
        <v>2</v>
      </c>
      <c r="J188">
        <v>0.2</v>
      </c>
      <c r="K188">
        <v>493.77</v>
      </c>
      <c r="L188" t="s">
        <v>68</v>
      </c>
    </row>
    <row r="189" spans="1:12" x14ac:dyDescent="0.3">
      <c r="A189" t="s">
        <v>331</v>
      </c>
      <c r="B189" s="2">
        <v>45794.408817635267</v>
      </c>
      <c r="C189" t="s">
        <v>96</v>
      </c>
      <c r="D189" t="s">
        <v>114</v>
      </c>
      <c r="E189" t="s">
        <v>114</v>
      </c>
      <c r="F189" t="s">
        <v>56</v>
      </c>
      <c r="G189" t="s">
        <v>35</v>
      </c>
      <c r="H189">
        <v>4415.17</v>
      </c>
      <c r="I189">
        <v>5</v>
      </c>
      <c r="J189">
        <v>0</v>
      </c>
      <c r="K189">
        <v>710.86</v>
      </c>
      <c r="L189" t="s">
        <v>31</v>
      </c>
    </row>
    <row r="190" spans="1:12" x14ac:dyDescent="0.3">
      <c r="A190" t="s">
        <v>332</v>
      </c>
      <c r="B190" s="2">
        <v>45795.138276553102</v>
      </c>
      <c r="C190" t="s">
        <v>152</v>
      </c>
      <c r="D190" t="s">
        <v>54</v>
      </c>
      <c r="E190" t="s">
        <v>55</v>
      </c>
      <c r="F190" t="s">
        <v>30</v>
      </c>
      <c r="G190" t="s">
        <v>17</v>
      </c>
      <c r="H190">
        <v>23215.78</v>
      </c>
      <c r="I190">
        <v>1</v>
      </c>
      <c r="J190">
        <v>0.2</v>
      </c>
      <c r="K190">
        <v>3055.82</v>
      </c>
      <c r="L190" t="s">
        <v>31</v>
      </c>
    </row>
    <row r="191" spans="1:12" x14ac:dyDescent="0.3">
      <c r="A191" t="s">
        <v>333</v>
      </c>
      <c r="B191" s="2">
        <v>45795.867735470943</v>
      </c>
      <c r="C191" t="s">
        <v>162</v>
      </c>
      <c r="D191" t="s">
        <v>49</v>
      </c>
      <c r="E191" t="s">
        <v>50</v>
      </c>
      <c r="F191" t="s">
        <v>63</v>
      </c>
      <c r="G191" t="s">
        <v>17</v>
      </c>
      <c r="H191">
        <v>95383.12</v>
      </c>
      <c r="I191">
        <v>4</v>
      </c>
      <c r="J191">
        <v>0.05</v>
      </c>
      <c r="K191">
        <v>12133.7</v>
      </c>
      <c r="L191" t="s">
        <v>51</v>
      </c>
    </row>
    <row r="192" spans="1:12" x14ac:dyDescent="0.3">
      <c r="A192" t="s">
        <v>334</v>
      </c>
      <c r="B192" s="2">
        <v>45796.597194388771</v>
      </c>
      <c r="C192" t="s">
        <v>335</v>
      </c>
      <c r="D192" t="s">
        <v>73</v>
      </c>
      <c r="E192" t="s">
        <v>74</v>
      </c>
      <c r="F192" t="s">
        <v>63</v>
      </c>
      <c r="G192" t="s">
        <v>17</v>
      </c>
      <c r="H192">
        <v>21543.86</v>
      </c>
      <c r="I192">
        <v>1</v>
      </c>
      <c r="J192">
        <v>0</v>
      </c>
      <c r="K192">
        <v>4382.6499999999996</v>
      </c>
      <c r="L192" t="s">
        <v>25</v>
      </c>
    </row>
    <row r="193" spans="1:12" x14ac:dyDescent="0.3">
      <c r="A193" t="s">
        <v>336</v>
      </c>
      <c r="B193" s="2">
        <v>45797.326653306613</v>
      </c>
      <c r="C193" t="s">
        <v>188</v>
      </c>
      <c r="D193" t="s">
        <v>61</v>
      </c>
      <c r="E193" t="s">
        <v>62</v>
      </c>
      <c r="F193" t="s">
        <v>94</v>
      </c>
      <c r="G193" t="s">
        <v>46</v>
      </c>
      <c r="H193">
        <v>43372.29</v>
      </c>
      <c r="I193">
        <v>3</v>
      </c>
      <c r="J193">
        <v>0.1</v>
      </c>
      <c r="K193">
        <v>7586.95</v>
      </c>
      <c r="L193" t="s">
        <v>25</v>
      </c>
    </row>
    <row r="194" spans="1:12" x14ac:dyDescent="0.3">
      <c r="A194" t="s">
        <v>337</v>
      </c>
      <c r="B194" s="2">
        <v>45798.056112224447</v>
      </c>
      <c r="C194" t="s">
        <v>129</v>
      </c>
      <c r="D194" t="s">
        <v>49</v>
      </c>
      <c r="E194" t="s">
        <v>50</v>
      </c>
      <c r="F194" t="s">
        <v>63</v>
      </c>
      <c r="G194" t="s">
        <v>17</v>
      </c>
      <c r="H194">
        <v>89053.51</v>
      </c>
      <c r="I194">
        <v>4</v>
      </c>
      <c r="J194">
        <v>0</v>
      </c>
      <c r="K194">
        <v>24697.98</v>
      </c>
      <c r="L194" t="s">
        <v>25</v>
      </c>
    </row>
    <row r="195" spans="1:12" x14ac:dyDescent="0.3">
      <c r="A195" t="s">
        <v>338</v>
      </c>
      <c r="B195" s="2">
        <v>45798.785571142282</v>
      </c>
      <c r="C195" t="s">
        <v>105</v>
      </c>
      <c r="D195" t="s">
        <v>73</v>
      </c>
      <c r="E195" t="s">
        <v>74</v>
      </c>
      <c r="F195" t="s">
        <v>87</v>
      </c>
      <c r="G195" t="s">
        <v>17</v>
      </c>
      <c r="H195">
        <v>130107.08</v>
      </c>
      <c r="I195">
        <v>3</v>
      </c>
      <c r="J195">
        <v>0.2</v>
      </c>
      <c r="K195">
        <v>18635.400000000001</v>
      </c>
      <c r="L195" t="s">
        <v>25</v>
      </c>
    </row>
    <row r="196" spans="1:12" x14ac:dyDescent="0.3">
      <c r="A196" t="s">
        <v>339</v>
      </c>
      <c r="B196" s="2">
        <v>45799.515030060124</v>
      </c>
      <c r="C196" t="s">
        <v>219</v>
      </c>
      <c r="D196" t="s">
        <v>73</v>
      </c>
      <c r="E196" t="s">
        <v>74</v>
      </c>
      <c r="F196" t="s">
        <v>16</v>
      </c>
      <c r="G196" t="s">
        <v>17</v>
      </c>
      <c r="H196">
        <v>62620.06</v>
      </c>
      <c r="I196">
        <v>5</v>
      </c>
      <c r="J196">
        <v>0.1</v>
      </c>
      <c r="K196">
        <v>5227.2700000000004</v>
      </c>
      <c r="L196" t="s">
        <v>68</v>
      </c>
    </row>
    <row r="197" spans="1:12" x14ac:dyDescent="0.3">
      <c r="A197" t="s">
        <v>340</v>
      </c>
      <c r="B197" s="2">
        <v>45800.244488977951</v>
      </c>
      <c r="C197" t="s">
        <v>282</v>
      </c>
      <c r="D197" t="s">
        <v>38</v>
      </c>
      <c r="E197" t="s">
        <v>39</v>
      </c>
      <c r="F197" t="s">
        <v>75</v>
      </c>
      <c r="G197" t="s">
        <v>24</v>
      </c>
      <c r="H197">
        <v>24218.69</v>
      </c>
      <c r="I197">
        <v>3</v>
      </c>
      <c r="J197">
        <v>0.1</v>
      </c>
      <c r="K197">
        <v>2613.9299999999998</v>
      </c>
      <c r="L197" t="s">
        <v>51</v>
      </c>
    </row>
    <row r="198" spans="1:12" x14ac:dyDescent="0.3">
      <c r="A198" t="s">
        <v>341</v>
      </c>
      <c r="B198" s="2">
        <v>45800.973947895793</v>
      </c>
      <c r="C198" t="s">
        <v>210</v>
      </c>
      <c r="D198" t="s">
        <v>61</v>
      </c>
      <c r="E198" t="s">
        <v>62</v>
      </c>
      <c r="F198" t="s">
        <v>75</v>
      </c>
      <c r="G198" t="s">
        <v>24</v>
      </c>
      <c r="H198">
        <v>14685.38</v>
      </c>
      <c r="I198">
        <v>2</v>
      </c>
      <c r="J198">
        <v>0.1</v>
      </c>
      <c r="K198">
        <v>1633.5</v>
      </c>
      <c r="L198" t="s">
        <v>51</v>
      </c>
    </row>
    <row r="199" spans="1:12" x14ac:dyDescent="0.3">
      <c r="A199" t="s">
        <v>342</v>
      </c>
      <c r="B199" s="2">
        <v>45801.70340681362</v>
      </c>
      <c r="C199" t="s">
        <v>230</v>
      </c>
      <c r="D199" t="s">
        <v>90</v>
      </c>
      <c r="E199" t="s">
        <v>44</v>
      </c>
      <c r="F199" t="s">
        <v>75</v>
      </c>
      <c r="G199" t="s">
        <v>24</v>
      </c>
      <c r="H199">
        <v>17321.2</v>
      </c>
      <c r="I199">
        <v>2</v>
      </c>
      <c r="J199">
        <v>0</v>
      </c>
      <c r="K199">
        <v>2231.48</v>
      </c>
      <c r="L199" t="s">
        <v>31</v>
      </c>
    </row>
    <row r="200" spans="1:12" x14ac:dyDescent="0.3">
      <c r="A200" t="s">
        <v>343</v>
      </c>
      <c r="B200" s="2">
        <v>45802.432865731462</v>
      </c>
      <c r="C200" t="s">
        <v>152</v>
      </c>
      <c r="D200" t="s">
        <v>61</v>
      </c>
      <c r="E200" t="s">
        <v>62</v>
      </c>
      <c r="F200" t="s">
        <v>34</v>
      </c>
      <c r="G200" t="s">
        <v>35</v>
      </c>
      <c r="H200">
        <v>1712.11</v>
      </c>
      <c r="I200">
        <v>1</v>
      </c>
      <c r="J200">
        <v>0.1</v>
      </c>
      <c r="K200">
        <v>210.82</v>
      </c>
      <c r="L200" t="s">
        <v>31</v>
      </c>
    </row>
    <row r="201" spans="1:12" x14ac:dyDescent="0.3">
      <c r="A201" t="s">
        <v>344</v>
      </c>
      <c r="B201" s="2">
        <v>45803.162324649304</v>
      </c>
      <c r="C201" t="s">
        <v>345</v>
      </c>
      <c r="D201" t="s">
        <v>73</v>
      </c>
      <c r="E201" t="s">
        <v>74</v>
      </c>
      <c r="F201" t="s">
        <v>63</v>
      </c>
      <c r="G201" t="s">
        <v>17</v>
      </c>
      <c r="H201">
        <v>50592.26</v>
      </c>
      <c r="I201">
        <v>2</v>
      </c>
      <c r="J201">
        <v>0</v>
      </c>
      <c r="K201">
        <v>13934.87</v>
      </c>
      <c r="L201" t="s">
        <v>68</v>
      </c>
    </row>
    <row r="202" spans="1:12" x14ac:dyDescent="0.3">
      <c r="A202" t="s">
        <v>346</v>
      </c>
      <c r="B202" s="2">
        <v>45803.891783567131</v>
      </c>
      <c r="C202" t="s">
        <v>79</v>
      </c>
      <c r="D202" t="s">
        <v>38</v>
      </c>
      <c r="E202" t="s">
        <v>39</v>
      </c>
      <c r="F202" t="s">
        <v>106</v>
      </c>
      <c r="G202" t="s">
        <v>35</v>
      </c>
      <c r="H202">
        <v>8429.4500000000007</v>
      </c>
      <c r="I202">
        <v>5</v>
      </c>
      <c r="J202">
        <v>0</v>
      </c>
      <c r="K202">
        <v>1771.05</v>
      </c>
      <c r="L202" t="s">
        <v>18</v>
      </c>
    </row>
    <row r="203" spans="1:12" x14ac:dyDescent="0.3">
      <c r="A203" t="s">
        <v>347</v>
      </c>
      <c r="B203" s="2">
        <v>45804.621242484973</v>
      </c>
      <c r="C203" t="s">
        <v>188</v>
      </c>
      <c r="D203" t="s">
        <v>28</v>
      </c>
      <c r="E203" t="s">
        <v>29</v>
      </c>
      <c r="F203" t="s">
        <v>30</v>
      </c>
      <c r="G203" t="s">
        <v>17</v>
      </c>
      <c r="H203">
        <v>63461.94</v>
      </c>
      <c r="I203">
        <v>2</v>
      </c>
      <c r="J203">
        <v>0.05</v>
      </c>
      <c r="K203">
        <v>16105.38</v>
      </c>
      <c r="L203" t="s">
        <v>31</v>
      </c>
    </row>
    <row r="204" spans="1:12" x14ac:dyDescent="0.3">
      <c r="A204" t="s">
        <v>348</v>
      </c>
      <c r="B204" s="2">
        <v>45805.3507014028</v>
      </c>
      <c r="C204" t="s">
        <v>168</v>
      </c>
      <c r="D204" t="s">
        <v>114</v>
      </c>
      <c r="E204" t="s">
        <v>114</v>
      </c>
      <c r="F204" t="s">
        <v>87</v>
      </c>
      <c r="G204" t="s">
        <v>17</v>
      </c>
      <c r="H204">
        <v>204524.01</v>
      </c>
      <c r="I204">
        <v>4</v>
      </c>
      <c r="J204">
        <v>0.1</v>
      </c>
      <c r="K204">
        <v>31922.91</v>
      </c>
      <c r="L204" t="s">
        <v>31</v>
      </c>
    </row>
    <row r="205" spans="1:12" x14ac:dyDescent="0.3">
      <c r="A205" t="s">
        <v>349</v>
      </c>
      <c r="B205" s="2">
        <v>45806.080160320627</v>
      </c>
      <c r="C205" t="s">
        <v>172</v>
      </c>
      <c r="D205" t="s">
        <v>90</v>
      </c>
      <c r="E205" t="s">
        <v>44</v>
      </c>
      <c r="F205" t="s">
        <v>40</v>
      </c>
      <c r="G205" t="s">
        <v>17</v>
      </c>
      <c r="H205">
        <v>7689.6</v>
      </c>
      <c r="I205">
        <v>4</v>
      </c>
      <c r="J205">
        <v>0.1</v>
      </c>
      <c r="K205">
        <v>874.22</v>
      </c>
      <c r="L205" t="s">
        <v>31</v>
      </c>
    </row>
    <row r="206" spans="1:12" x14ac:dyDescent="0.3">
      <c r="A206" t="s">
        <v>350</v>
      </c>
      <c r="B206" s="2">
        <v>45806.809619238469</v>
      </c>
      <c r="C206" t="s">
        <v>58</v>
      </c>
      <c r="D206" t="s">
        <v>71</v>
      </c>
      <c r="E206" t="s">
        <v>55</v>
      </c>
      <c r="F206" t="s">
        <v>106</v>
      </c>
      <c r="G206" t="s">
        <v>35</v>
      </c>
      <c r="H206">
        <v>3474.46</v>
      </c>
      <c r="I206">
        <v>2</v>
      </c>
      <c r="J206">
        <v>0.15</v>
      </c>
      <c r="K206">
        <v>913.25</v>
      </c>
      <c r="L206" t="s">
        <v>25</v>
      </c>
    </row>
    <row r="207" spans="1:12" x14ac:dyDescent="0.3">
      <c r="A207" t="s">
        <v>351</v>
      </c>
      <c r="B207" s="2">
        <v>45807.539078156311</v>
      </c>
      <c r="C207" t="s">
        <v>122</v>
      </c>
      <c r="D207" t="s">
        <v>114</v>
      </c>
      <c r="E207" t="s">
        <v>114</v>
      </c>
      <c r="F207" t="s">
        <v>30</v>
      </c>
      <c r="G207" t="s">
        <v>17</v>
      </c>
      <c r="H207">
        <v>131644.47</v>
      </c>
      <c r="I207">
        <v>5</v>
      </c>
      <c r="J207">
        <v>0.05</v>
      </c>
      <c r="K207">
        <v>20914.759999999998</v>
      </c>
      <c r="L207" t="s">
        <v>51</v>
      </c>
    </row>
    <row r="208" spans="1:12" x14ac:dyDescent="0.3">
      <c r="A208" t="s">
        <v>352</v>
      </c>
      <c r="B208" s="2">
        <v>45808.268537074153</v>
      </c>
      <c r="C208" t="s">
        <v>182</v>
      </c>
      <c r="D208" t="s">
        <v>61</v>
      </c>
      <c r="E208" t="s">
        <v>62</v>
      </c>
      <c r="F208" t="s">
        <v>34</v>
      </c>
      <c r="G208" t="s">
        <v>35</v>
      </c>
      <c r="H208">
        <v>4619.54</v>
      </c>
      <c r="I208">
        <v>3</v>
      </c>
      <c r="J208">
        <v>0</v>
      </c>
      <c r="K208">
        <v>376.55</v>
      </c>
      <c r="L208" t="s">
        <v>25</v>
      </c>
    </row>
    <row r="209" spans="1:12" x14ac:dyDescent="0.3">
      <c r="A209" t="s">
        <v>353</v>
      </c>
      <c r="B209" s="2">
        <v>45808.99799599198</v>
      </c>
      <c r="C209" t="s">
        <v>354</v>
      </c>
      <c r="D209" t="s">
        <v>21</v>
      </c>
      <c r="E209" t="s">
        <v>22</v>
      </c>
      <c r="F209" t="s">
        <v>40</v>
      </c>
      <c r="G209" t="s">
        <v>17</v>
      </c>
      <c r="H209">
        <v>10738.14</v>
      </c>
      <c r="I209">
        <v>4</v>
      </c>
      <c r="J209">
        <v>0.05</v>
      </c>
      <c r="K209">
        <v>1076.8699999999999</v>
      </c>
      <c r="L209" t="s">
        <v>25</v>
      </c>
    </row>
    <row r="210" spans="1:12" x14ac:dyDescent="0.3">
      <c r="A210" t="s">
        <v>355</v>
      </c>
      <c r="B210" s="2">
        <v>45809.727454909807</v>
      </c>
      <c r="C210" t="s">
        <v>356</v>
      </c>
      <c r="D210" t="s">
        <v>21</v>
      </c>
      <c r="E210" t="s">
        <v>22</v>
      </c>
      <c r="F210" t="s">
        <v>63</v>
      </c>
      <c r="G210" t="s">
        <v>17</v>
      </c>
      <c r="H210">
        <v>67602.45</v>
      </c>
      <c r="I210">
        <v>3</v>
      </c>
      <c r="J210">
        <v>0</v>
      </c>
      <c r="K210">
        <v>15110.98</v>
      </c>
      <c r="L210" t="s">
        <v>68</v>
      </c>
    </row>
    <row r="211" spans="1:12" x14ac:dyDescent="0.3">
      <c r="A211" t="s">
        <v>357</v>
      </c>
      <c r="B211" s="2">
        <v>45810.456913827649</v>
      </c>
      <c r="C211" t="s">
        <v>358</v>
      </c>
      <c r="D211" t="s">
        <v>54</v>
      </c>
      <c r="E211" t="s">
        <v>55</v>
      </c>
      <c r="F211" t="s">
        <v>45</v>
      </c>
      <c r="G211" t="s">
        <v>46</v>
      </c>
      <c r="H211">
        <v>251.69</v>
      </c>
      <c r="I211">
        <v>1</v>
      </c>
      <c r="J211">
        <v>0</v>
      </c>
      <c r="K211">
        <v>63.4</v>
      </c>
      <c r="L211" t="s">
        <v>31</v>
      </c>
    </row>
    <row r="212" spans="1:12" x14ac:dyDescent="0.3">
      <c r="A212" t="s">
        <v>359</v>
      </c>
      <c r="B212" s="2">
        <v>45811.186372745477</v>
      </c>
      <c r="C212" t="s">
        <v>83</v>
      </c>
      <c r="D212" t="s">
        <v>73</v>
      </c>
      <c r="E212" t="s">
        <v>74</v>
      </c>
      <c r="F212" t="s">
        <v>45</v>
      </c>
      <c r="G212" t="s">
        <v>360</v>
      </c>
      <c r="H212">
        <v>977.36</v>
      </c>
      <c r="I212">
        <v>4</v>
      </c>
      <c r="J212">
        <v>0</v>
      </c>
      <c r="K212">
        <v>237.64</v>
      </c>
      <c r="L212" t="s">
        <v>68</v>
      </c>
    </row>
    <row r="213" spans="1:12" x14ac:dyDescent="0.3">
      <c r="A213" t="s">
        <v>361</v>
      </c>
      <c r="B213" s="2">
        <v>45811.915831663318</v>
      </c>
      <c r="C213" t="s">
        <v>236</v>
      </c>
      <c r="D213" t="s">
        <v>73</v>
      </c>
      <c r="E213" t="s">
        <v>74</v>
      </c>
      <c r="F213" t="s">
        <v>34</v>
      </c>
      <c r="G213" t="s">
        <v>35</v>
      </c>
      <c r="H213">
        <v>7883.2</v>
      </c>
      <c r="I213">
        <v>5</v>
      </c>
      <c r="J213">
        <v>0.15</v>
      </c>
      <c r="K213">
        <v>2024.73</v>
      </c>
      <c r="L213" t="s">
        <v>31</v>
      </c>
    </row>
    <row r="214" spans="1:12" x14ac:dyDescent="0.3">
      <c r="A214" t="s">
        <v>362</v>
      </c>
      <c r="B214" s="2">
        <v>45812.64529058116</v>
      </c>
      <c r="C214" t="s">
        <v>190</v>
      </c>
      <c r="D214" t="s">
        <v>73</v>
      </c>
      <c r="E214" t="s">
        <v>74</v>
      </c>
      <c r="F214" t="s">
        <v>23</v>
      </c>
      <c r="G214" t="s">
        <v>24</v>
      </c>
      <c r="H214">
        <v>18398.05</v>
      </c>
      <c r="I214">
        <v>2</v>
      </c>
      <c r="J214">
        <v>0.2</v>
      </c>
      <c r="K214">
        <v>4304.9399999999996</v>
      </c>
      <c r="L214" t="s">
        <v>18</v>
      </c>
    </row>
    <row r="215" spans="1:12" x14ac:dyDescent="0.3">
      <c r="A215" t="s">
        <v>363</v>
      </c>
      <c r="B215" s="2">
        <v>45813.374749498988</v>
      </c>
      <c r="C215" t="s">
        <v>219</v>
      </c>
      <c r="D215" t="s">
        <v>114</v>
      </c>
      <c r="E215" t="s">
        <v>114</v>
      </c>
      <c r="F215" t="s">
        <v>16</v>
      </c>
      <c r="G215" t="s">
        <v>17</v>
      </c>
      <c r="H215">
        <v>25456.18</v>
      </c>
      <c r="I215">
        <v>2</v>
      </c>
      <c r="J215">
        <v>0.15</v>
      </c>
      <c r="K215">
        <v>5454.88</v>
      </c>
      <c r="L215" t="s">
        <v>18</v>
      </c>
    </row>
    <row r="216" spans="1:12" x14ac:dyDescent="0.3">
      <c r="A216" t="s">
        <v>364</v>
      </c>
      <c r="B216" s="2">
        <v>45814.104208416829</v>
      </c>
      <c r="C216" t="s">
        <v>186</v>
      </c>
      <c r="D216" t="s">
        <v>54</v>
      </c>
      <c r="E216" t="s">
        <v>55</v>
      </c>
      <c r="F216" t="s">
        <v>45</v>
      </c>
      <c r="G216" t="s">
        <v>46</v>
      </c>
      <c r="H216">
        <v>244.3</v>
      </c>
      <c r="I216">
        <v>1</v>
      </c>
      <c r="J216">
        <v>0</v>
      </c>
      <c r="K216">
        <v>31.04</v>
      </c>
      <c r="L216" t="s">
        <v>31</v>
      </c>
    </row>
    <row r="217" spans="1:12" x14ac:dyDescent="0.3">
      <c r="A217" t="s">
        <v>365</v>
      </c>
      <c r="B217" s="2">
        <v>45814.833667334657</v>
      </c>
      <c r="C217" t="s">
        <v>216</v>
      </c>
      <c r="D217" t="s">
        <v>14</v>
      </c>
      <c r="E217" t="s">
        <v>15</v>
      </c>
      <c r="F217" t="s">
        <v>106</v>
      </c>
      <c r="G217" t="s">
        <v>35</v>
      </c>
      <c r="H217">
        <v>1545.04</v>
      </c>
      <c r="I217">
        <v>1</v>
      </c>
      <c r="J217">
        <v>0.05</v>
      </c>
      <c r="K217">
        <v>194.75</v>
      </c>
      <c r="L217" t="s">
        <v>31</v>
      </c>
    </row>
    <row r="218" spans="1:12" x14ac:dyDescent="0.3">
      <c r="A218" t="s">
        <v>366</v>
      </c>
      <c r="B218" s="2">
        <v>45815.563126252498</v>
      </c>
      <c r="C218" t="s">
        <v>124</v>
      </c>
      <c r="D218" t="s">
        <v>38</v>
      </c>
      <c r="E218" t="s">
        <v>39</v>
      </c>
      <c r="F218" t="s">
        <v>94</v>
      </c>
      <c r="G218" t="s">
        <v>46</v>
      </c>
      <c r="H218">
        <v>25173.77</v>
      </c>
      <c r="I218">
        <v>2</v>
      </c>
      <c r="J218">
        <v>0.1</v>
      </c>
      <c r="K218">
        <v>5416.6</v>
      </c>
      <c r="L218" t="s">
        <v>68</v>
      </c>
    </row>
    <row r="219" spans="1:12" x14ac:dyDescent="0.3">
      <c r="A219" t="s">
        <v>367</v>
      </c>
      <c r="B219" s="2">
        <v>45816.292585170333</v>
      </c>
      <c r="C219" t="s">
        <v>207</v>
      </c>
      <c r="D219" t="s">
        <v>14</v>
      </c>
      <c r="E219" t="s">
        <v>15</v>
      </c>
      <c r="F219" t="s">
        <v>94</v>
      </c>
      <c r="G219" t="s">
        <v>46</v>
      </c>
      <c r="H219">
        <v>12180.13</v>
      </c>
      <c r="I219">
        <v>1</v>
      </c>
      <c r="J219">
        <v>0.05</v>
      </c>
      <c r="K219">
        <v>2968.8</v>
      </c>
      <c r="L219" t="s">
        <v>51</v>
      </c>
    </row>
    <row r="220" spans="1:12" x14ac:dyDescent="0.3">
      <c r="A220" t="s">
        <v>368</v>
      </c>
      <c r="B220" s="2">
        <v>45817.022044088168</v>
      </c>
      <c r="C220" t="s">
        <v>238</v>
      </c>
      <c r="D220" t="s">
        <v>14</v>
      </c>
      <c r="E220" t="s">
        <v>15</v>
      </c>
      <c r="F220" t="s">
        <v>16</v>
      </c>
      <c r="G220" t="s">
        <v>17</v>
      </c>
      <c r="H220">
        <v>78278.009999999995</v>
      </c>
      <c r="I220">
        <v>5</v>
      </c>
      <c r="J220">
        <v>0</v>
      </c>
      <c r="K220">
        <v>11324.82</v>
      </c>
      <c r="L220" t="s">
        <v>31</v>
      </c>
    </row>
    <row r="221" spans="1:12" x14ac:dyDescent="0.3">
      <c r="A221" t="s">
        <v>369</v>
      </c>
      <c r="B221" s="2">
        <v>45817.751503006009</v>
      </c>
      <c r="C221" t="s">
        <v>65</v>
      </c>
      <c r="D221" t="s">
        <v>14</v>
      </c>
      <c r="E221" t="s">
        <v>15</v>
      </c>
      <c r="F221" t="s">
        <v>16</v>
      </c>
      <c r="G221" t="s">
        <v>17</v>
      </c>
      <c r="H221">
        <v>70400.259999999995</v>
      </c>
      <c r="I221">
        <v>5</v>
      </c>
      <c r="J221">
        <v>0</v>
      </c>
      <c r="K221">
        <v>16901.080000000002</v>
      </c>
      <c r="L221" t="s">
        <v>51</v>
      </c>
    </row>
    <row r="222" spans="1:12" x14ac:dyDescent="0.3">
      <c r="A222" t="s">
        <v>370</v>
      </c>
      <c r="B222" s="2">
        <v>45818.480961923837</v>
      </c>
      <c r="C222" t="s">
        <v>156</v>
      </c>
      <c r="D222" t="s">
        <v>71</v>
      </c>
      <c r="E222" t="s">
        <v>55</v>
      </c>
      <c r="F222" t="s">
        <v>56</v>
      </c>
      <c r="G222" t="s">
        <v>35</v>
      </c>
      <c r="H222">
        <v>3239.77</v>
      </c>
      <c r="I222">
        <v>4</v>
      </c>
      <c r="J222">
        <v>0.05</v>
      </c>
      <c r="K222">
        <v>692.98</v>
      </c>
      <c r="L222" t="s">
        <v>31</v>
      </c>
    </row>
    <row r="223" spans="1:12" x14ac:dyDescent="0.3">
      <c r="A223" t="s">
        <v>371</v>
      </c>
      <c r="B223" s="2">
        <v>45819.210420841679</v>
      </c>
      <c r="C223" t="s">
        <v>154</v>
      </c>
      <c r="D223" t="s">
        <v>71</v>
      </c>
      <c r="E223" t="s">
        <v>55</v>
      </c>
      <c r="F223" t="s">
        <v>30</v>
      </c>
      <c r="G223" t="s">
        <v>17</v>
      </c>
      <c r="H223">
        <v>93748.61</v>
      </c>
      <c r="I223">
        <v>4</v>
      </c>
      <c r="J223">
        <v>0.1</v>
      </c>
      <c r="K223">
        <v>25455.1</v>
      </c>
      <c r="L223" t="s">
        <v>51</v>
      </c>
    </row>
    <row r="224" spans="1:12" x14ac:dyDescent="0.3">
      <c r="A224" t="s">
        <v>372</v>
      </c>
      <c r="B224" s="2">
        <v>45819.939879759513</v>
      </c>
      <c r="C224" t="s">
        <v>133</v>
      </c>
      <c r="D224" t="s">
        <v>38</v>
      </c>
      <c r="E224" t="s">
        <v>39</v>
      </c>
      <c r="F224" t="s">
        <v>75</v>
      </c>
      <c r="G224" t="s">
        <v>24</v>
      </c>
      <c r="H224">
        <v>30918.39</v>
      </c>
      <c r="I224">
        <v>4</v>
      </c>
      <c r="J224">
        <v>0.1</v>
      </c>
      <c r="K224">
        <v>7392.28</v>
      </c>
      <c r="L224" t="s">
        <v>68</v>
      </c>
    </row>
    <row r="225" spans="1:12" x14ac:dyDescent="0.3">
      <c r="A225" t="s">
        <v>373</v>
      </c>
      <c r="B225" s="2">
        <v>45820.669338677348</v>
      </c>
      <c r="C225" t="s">
        <v>269</v>
      </c>
      <c r="D225" t="s">
        <v>54</v>
      </c>
      <c r="E225" t="s">
        <v>55</v>
      </c>
      <c r="F225" t="s">
        <v>23</v>
      </c>
      <c r="G225" t="s">
        <v>24</v>
      </c>
      <c r="H225">
        <v>39877.79</v>
      </c>
      <c r="I225">
        <v>4</v>
      </c>
      <c r="J225">
        <v>0.1</v>
      </c>
      <c r="K225">
        <v>3931.38</v>
      </c>
      <c r="L225" t="s">
        <v>31</v>
      </c>
    </row>
    <row r="226" spans="1:12" x14ac:dyDescent="0.3">
      <c r="A226" t="s">
        <v>374</v>
      </c>
      <c r="B226" s="2">
        <v>45821.398797595182</v>
      </c>
      <c r="C226" t="s">
        <v>327</v>
      </c>
      <c r="D226" t="s">
        <v>114</v>
      </c>
      <c r="E226" t="s">
        <v>114</v>
      </c>
      <c r="F226" t="s">
        <v>63</v>
      </c>
      <c r="G226" t="s">
        <v>17</v>
      </c>
      <c r="H226">
        <v>93510.86</v>
      </c>
      <c r="I226">
        <v>4</v>
      </c>
      <c r="J226">
        <v>0</v>
      </c>
      <c r="K226">
        <v>13150.03</v>
      </c>
      <c r="L226" t="s">
        <v>31</v>
      </c>
    </row>
    <row r="227" spans="1:12" x14ac:dyDescent="0.3">
      <c r="A227" t="s">
        <v>375</v>
      </c>
      <c r="B227" s="2">
        <v>45822.128256513017</v>
      </c>
      <c r="C227" t="s">
        <v>216</v>
      </c>
      <c r="D227" t="s">
        <v>114</v>
      </c>
      <c r="E227" t="s">
        <v>114</v>
      </c>
      <c r="F227" t="s">
        <v>30</v>
      </c>
      <c r="G227" t="s">
        <v>17</v>
      </c>
      <c r="H227">
        <v>74659.039999999994</v>
      </c>
      <c r="I227">
        <v>3</v>
      </c>
      <c r="J227">
        <v>0.1</v>
      </c>
      <c r="K227">
        <v>18295.740000000002</v>
      </c>
      <c r="L227" t="s">
        <v>25</v>
      </c>
    </row>
    <row r="228" spans="1:12" x14ac:dyDescent="0.3">
      <c r="A228" t="s">
        <v>376</v>
      </c>
      <c r="B228" s="2">
        <v>45822.857715430859</v>
      </c>
      <c r="C228" t="s">
        <v>207</v>
      </c>
      <c r="D228" t="s">
        <v>43</v>
      </c>
      <c r="E228" t="s">
        <v>44</v>
      </c>
      <c r="F228" t="s">
        <v>75</v>
      </c>
      <c r="G228" t="s">
        <v>24</v>
      </c>
      <c r="H228">
        <v>26386.959999999999</v>
      </c>
      <c r="I228">
        <v>3</v>
      </c>
      <c r="J228">
        <v>0.1</v>
      </c>
      <c r="K228">
        <v>5101</v>
      </c>
      <c r="L228" t="s">
        <v>25</v>
      </c>
    </row>
    <row r="229" spans="1:12" x14ac:dyDescent="0.3">
      <c r="A229" t="s">
        <v>377</v>
      </c>
      <c r="B229" s="2">
        <v>45823.587174348693</v>
      </c>
      <c r="C229" t="s">
        <v>378</v>
      </c>
      <c r="D229" t="s">
        <v>90</v>
      </c>
      <c r="E229" t="s">
        <v>44</v>
      </c>
      <c r="F229" t="s">
        <v>45</v>
      </c>
      <c r="G229" t="s">
        <v>46</v>
      </c>
      <c r="H229">
        <v>467.27</v>
      </c>
      <c r="I229">
        <v>2</v>
      </c>
      <c r="J229">
        <v>0.1</v>
      </c>
      <c r="K229">
        <v>87.14</v>
      </c>
      <c r="L229" t="s">
        <v>25</v>
      </c>
    </row>
    <row r="230" spans="1:12" x14ac:dyDescent="0.3">
      <c r="A230" t="s">
        <v>379</v>
      </c>
      <c r="B230" s="2">
        <v>45824.316633266528</v>
      </c>
      <c r="C230" t="s">
        <v>282</v>
      </c>
      <c r="D230" t="s">
        <v>38</v>
      </c>
      <c r="E230" t="s">
        <v>39</v>
      </c>
      <c r="F230" t="s">
        <v>106</v>
      </c>
      <c r="G230" t="s">
        <v>35</v>
      </c>
      <c r="H230">
        <v>4384</v>
      </c>
      <c r="I230">
        <v>3</v>
      </c>
      <c r="J230">
        <v>0.1</v>
      </c>
      <c r="K230">
        <v>654.17999999999995</v>
      </c>
      <c r="L230" t="s">
        <v>51</v>
      </c>
    </row>
    <row r="231" spans="1:12" x14ac:dyDescent="0.3">
      <c r="A231" t="s">
        <v>380</v>
      </c>
      <c r="B231" s="2">
        <v>45825.046092184362</v>
      </c>
      <c r="C231" t="s">
        <v>381</v>
      </c>
      <c r="D231" t="s">
        <v>38</v>
      </c>
      <c r="E231" t="s">
        <v>39</v>
      </c>
      <c r="F231" t="s">
        <v>30</v>
      </c>
      <c r="G231" t="s">
        <v>17</v>
      </c>
      <c r="H231">
        <v>28323.48</v>
      </c>
      <c r="I231">
        <v>1</v>
      </c>
      <c r="J231">
        <v>0.05</v>
      </c>
      <c r="K231">
        <v>5700.79</v>
      </c>
      <c r="L231" t="s">
        <v>68</v>
      </c>
    </row>
    <row r="232" spans="1:12" x14ac:dyDescent="0.3">
      <c r="A232" t="s">
        <v>382</v>
      </c>
      <c r="B232" s="2">
        <v>45825.775551102197</v>
      </c>
      <c r="C232" t="s">
        <v>383</v>
      </c>
      <c r="D232" t="s">
        <v>54</v>
      </c>
      <c r="E232" t="s">
        <v>55</v>
      </c>
      <c r="F232" t="s">
        <v>40</v>
      </c>
      <c r="G232" t="s">
        <v>17</v>
      </c>
      <c r="H232">
        <v>7271.99</v>
      </c>
      <c r="I232">
        <v>3</v>
      </c>
      <c r="J232">
        <v>0</v>
      </c>
      <c r="K232">
        <v>1116.3</v>
      </c>
      <c r="L232" t="s">
        <v>51</v>
      </c>
    </row>
    <row r="233" spans="1:12" x14ac:dyDescent="0.3">
      <c r="A233" t="s">
        <v>384</v>
      </c>
      <c r="B233" s="2">
        <v>45826.505010020031</v>
      </c>
      <c r="C233" t="s">
        <v>93</v>
      </c>
      <c r="D233" t="s">
        <v>54</v>
      </c>
      <c r="E233" t="s">
        <v>55</v>
      </c>
      <c r="F233" t="s">
        <v>94</v>
      </c>
      <c r="G233" t="s">
        <v>46</v>
      </c>
      <c r="H233">
        <v>44573.47</v>
      </c>
      <c r="I233">
        <v>4</v>
      </c>
      <c r="J233">
        <v>0.15</v>
      </c>
      <c r="K233">
        <v>4653.78</v>
      </c>
      <c r="L233" t="s">
        <v>51</v>
      </c>
    </row>
    <row r="234" spans="1:12" x14ac:dyDescent="0.3">
      <c r="A234" t="s">
        <v>385</v>
      </c>
      <c r="B234" s="2">
        <v>45827.234468937873</v>
      </c>
      <c r="C234" t="s">
        <v>175</v>
      </c>
      <c r="D234" t="s">
        <v>61</v>
      </c>
      <c r="E234" t="s">
        <v>62</v>
      </c>
      <c r="F234" t="s">
        <v>56</v>
      </c>
      <c r="G234" t="s">
        <v>35</v>
      </c>
      <c r="H234">
        <v>3463.99</v>
      </c>
      <c r="I234">
        <v>5</v>
      </c>
      <c r="J234">
        <v>0.1</v>
      </c>
      <c r="K234">
        <v>529.85</v>
      </c>
      <c r="L234" t="s">
        <v>18</v>
      </c>
    </row>
    <row r="235" spans="1:12" x14ac:dyDescent="0.3">
      <c r="A235" t="s">
        <v>386</v>
      </c>
      <c r="B235" s="2">
        <v>45827.963927855708</v>
      </c>
      <c r="C235" t="s">
        <v>194</v>
      </c>
      <c r="D235" t="s">
        <v>43</v>
      </c>
      <c r="E235" t="s">
        <v>44</v>
      </c>
      <c r="F235" t="s">
        <v>45</v>
      </c>
      <c r="G235" t="s">
        <v>46</v>
      </c>
      <c r="H235">
        <v>173.49</v>
      </c>
      <c r="I235">
        <v>1</v>
      </c>
      <c r="J235">
        <v>0.2</v>
      </c>
      <c r="K235">
        <v>15.88</v>
      </c>
      <c r="L235" t="s">
        <v>18</v>
      </c>
    </row>
    <row r="236" spans="1:12" x14ac:dyDescent="0.3">
      <c r="A236" t="s">
        <v>387</v>
      </c>
      <c r="B236" s="2">
        <v>45828.693386773542</v>
      </c>
      <c r="C236" t="s">
        <v>316</v>
      </c>
      <c r="D236" t="s">
        <v>38</v>
      </c>
      <c r="E236" t="s">
        <v>39</v>
      </c>
      <c r="F236" t="s">
        <v>40</v>
      </c>
      <c r="G236" t="s">
        <v>17</v>
      </c>
      <c r="H236">
        <v>10526.18</v>
      </c>
      <c r="I236">
        <v>5</v>
      </c>
      <c r="J236">
        <v>0.05</v>
      </c>
      <c r="K236">
        <v>1054.82</v>
      </c>
      <c r="L236" t="s">
        <v>25</v>
      </c>
    </row>
    <row r="237" spans="1:12" x14ac:dyDescent="0.3">
      <c r="A237" t="s">
        <v>388</v>
      </c>
      <c r="B237" s="2">
        <v>45829.422845691377</v>
      </c>
      <c r="C237" t="s">
        <v>205</v>
      </c>
      <c r="D237" t="s">
        <v>54</v>
      </c>
      <c r="E237" t="s">
        <v>55</v>
      </c>
      <c r="F237" t="s">
        <v>75</v>
      </c>
      <c r="G237" t="s">
        <v>24</v>
      </c>
      <c r="H237">
        <v>8278.14</v>
      </c>
      <c r="I237">
        <v>1</v>
      </c>
      <c r="J237">
        <v>0</v>
      </c>
      <c r="K237">
        <v>949.92</v>
      </c>
      <c r="L237" t="s">
        <v>51</v>
      </c>
    </row>
    <row r="238" spans="1:12" x14ac:dyDescent="0.3">
      <c r="A238" t="s">
        <v>389</v>
      </c>
      <c r="B238" s="2">
        <v>45830.152304609212</v>
      </c>
      <c r="C238" t="s">
        <v>202</v>
      </c>
      <c r="D238" t="s">
        <v>114</v>
      </c>
      <c r="E238" t="s">
        <v>114</v>
      </c>
      <c r="F238" t="s">
        <v>16</v>
      </c>
      <c r="G238" t="s">
        <v>17</v>
      </c>
      <c r="H238">
        <v>60245.06</v>
      </c>
      <c r="I238">
        <v>5</v>
      </c>
      <c r="J238">
        <v>0.1</v>
      </c>
      <c r="K238">
        <v>10622.83</v>
      </c>
      <c r="L238" t="s">
        <v>68</v>
      </c>
    </row>
    <row r="239" spans="1:12" x14ac:dyDescent="0.3">
      <c r="A239" t="s">
        <v>390</v>
      </c>
      <c r="B239" s="2">
        <v>45830.881763527053</v>
      </c>
      <c r="C239" t="s">
        <v>391</v>
      </c>
      <c r="D239" t="s">
        <v>28</v>
      </c>
      <c r="E239" t="s">
        <v>29</v>
      </c>
      <c r="F239" t="s">
        <v>106</v>
      </c>
      <c r="G239" t="s">
        <v>35</v>
      </c>
      <c r="H239">
        <v>3044.28</v>
      </c>
      <c r="I239">
        <v>2</v>
      </c>
      <c r="J239">
        <v>0.05</v>
      </c>
      <c r="K239">
        <v>724.74</v>
      </c>
      <c r="L239" t="s">
        <v>51</v>
      </c>
    </row>
    <row r="240" spans="1:12" x14ac:dyDescent="0.3">
      <c r="A240" t="s">
        <v>392</v>
      </c>
      <c r="B240" s="2">
        <v>45831.611222444881</v>
      </c>
      <c r="C240" t="s">
        <v>152</v>
      </c>
      <c r="D240" t="s">
        <v>49</v>
      </c>
      <c r="E240" t="s">
        <v>50</v>
      </c>
      <c r="F240" t="s">
        <v>75</v>
      </c>
      <c r="G240" t="s">
        <v>24</v>
      </c>
      <c r="H240">
        <v>41155.230000000003</v>
      </c>
      <c r="I240">
        <v>5</v>
      </c>
      <c r="J240">
        <v>0</v>
      </c>
      <c r="K240">
        <v>5277.76</v>
      </c>
      <c r="L240" t="s">
        <v>51</v>
      </c>
    </row>
    <row r="241" spans="1:12" x14ac:dyDescent="0.3">
      <c r="A241" t="s">
        <v>393</v>
      </c>
      <c r="B241" s="2">
        <v>45832.340681362723</v>
      </c>
      <c r="C241" t="s">
        <v>77</v>
      </c>
      <c r="D241" t="s">
        <v>114</v>
      </c>
      <c r="E241" t="s">
        <v>114</v>
      </c>
      <c r="F241" t="s">
        <v>16</v>
      </c>
      <c r="G241" t="s">
        <v>17</v>
      </c>
      <c r="H241">
        <v>11124.8</v>
      </c>
      <c r="I241">
        <v>1</v>
      </c>
      <c r="J241">
        <v>0.1</v>
      </c>
      <c r="K241">
        <v>1900.96</v>
      </c>
      <c r="L241" t="s">
        <v>68</v>
      </c>
    </row>
    <row r="242" spans="1:12" x14ac:dyDescent="0.3">
      <c r="A242" t="s">
        <v>394</v>
      </c>
      <c r="B242" s="2">
        <v>45833.070140280557</v>
      </c>
      <c r="C242" t="s">
        <v>395</v>
      </c>
      <c r="D242" t="s">
        <v>73</v>
      </c>
      <c r="E242" t="s">
        <v>74</v>
      </c>
      <c r="F242" t="s">
        <v>16</v>
      </c>
      <c r="G242" t="s">
        <v>17</v>
      </c>
      <c r="H242">
        <v>23874.55</v>
      </c>
      <c r="I242">
        <v>2</v>
      </c>
      <c r="J242">
        <v>0.1</v>
      </c>
      <c r="K242">
        <v>4182.91</v>
      </c>
      <c r="L242" t="s">
        <v>68</v>
      </c>
    </row>
    <row r="243" spans="1:12" x14ac:dyDescent="0.3">
      <c r="A243" t="s">
        <v>396</v>
      </c>
      <c r="B243" s="2">
        <v>45833.799599198392</v>
      </c>
      <c r="C243" t="s">
        <v>194</v>
      </c>
      <c r="D243" t="s">
        <v>28</v>
      </c>
      <c r="E243" t="s">
        <v>29</v>
      </c>
      <c r="F243" t="s">
        <v>45</v>
      </c>
      <c r="G243" t="s">
        <v>46</v>
      </c>
      <c r="H243">
        <v>1421.08</v>
      </c>
      <c r="I243">
        <v>5</v>
      </c>
      <c r="J243">
        <v>0</v>
      </c>
      <c r="K243">
        <v>142.72</v>
      </c>
      <c r="L243" t="s">
        <v>31</v>
      </c>
    </row>
    <row r="244" spans="1:12" x14ac:dyDescent="0.3">
      <c r="A244" t="s">
        <v>397</v>
      </c>
      <c r="B244" s="2">
        <v>45834.529058116234</v>
      </c>
      <c r="C244" t="s">
        <v>83</v>
      </c>
      <c r="D244" t="s">
        <v>90</v>
      </c>
      <c r="E244" t="s">
        <v>44</v>
      </c>
      <c r="F244" t="s">
        <v>30</v>
      </c>
      <c r="G244" t="s">
        <v>17</v>
      </c>
      <c r="H244">
        <v>99513.46</v>
      </c>
      <c r="I244">
        <v>4</v>
      </c>
      <c r="J244">
        <v>0.05</v>
      </c>
      <c r="K244">
        <v>26476.93</v>
      </c>
      <c r="L244" t="s">
        <v>68</v>
      </c>
    </row>
    <row r="245" spans="1:12" x14ac:dyDescent="0.3">
      <c r="A245" t="s">
        <v>398</v>
      </c>
      <c r="B245" s="2">
        <v>45835.258517034061</v>
      </c>
      <c r="C245" t="s">
        <v>67</v>
      </c>
      <c r="D245" t="s">
        <v>61</v>
      </c>
      <c r="E245" t="s">
        <v>62</v>
      </c>
      <c r="F245" t="s">
        <v>34</v>
      </c>
      <c r="G245" t="s">
        <v>35</v>
      </c>
      <c r="H245">
        <v>3303.4</v>
      </c>
      <c r="I245">
        <v>2</v>
      </c>
      <c r="J245">
        <v>0.05</v>
      </c>
      <c r="K245">
        <v>414.22</v>
      </c>
      <c r="L245" t="s">
        <v>68</v>
      </c>
    </row>
    <row r="246" spans="1:12" x14ac:dyDescent="0.3">
      <c r="A246" t="s">
        <v>399</v>
      </c>
      <c r="B246" s="2">
        <v>45835.987975951903</v>
      </c>
      <c r="C246" t="s">
        <v>154</v>
      </c>
      <c r="D246" t="s">
        <v>71</v>
      </c>
      <c r="E246" t="s">
        <v>55</v>
      </c>
      <c r="F246" t="s">
        <v>106</v>
      </c>
      <c r="G246" t="s">
        <v>35</v>
      </c>
      <c r="H246">
        <v>6503.76</v>
      </c>
      <c r="I246">
        <v>4</v>
      </c>
      <c r="J246">
        <v>0.1</v>
      </c>
      <c r="K246">
        <v>574.51</v>
      </c>
      <c r="L246" t="s">
        <v>18</v>
      </c>
    </row>
    <row r="247" spans="1:12" x14ac:dyDescent="0.3">
      <c r="A247" t="s">
        <v>400</v>
      </c>
      <c r="B247" s="2">
        <v>45836.717434869737</v>
      </c>
      <c r="C247" t="s">
        <v>401</v>
      </c>
      <c r="D247" t="s">
        <v>90</v>
      </c>
      <c r="E247" t="s">
        <v>44</v>
      </c>
      <c r="F247" t="s">
        <v>40</v>
      </c>
      <c r="G247" t="s">
        <v>17</v>
      </c>
      <c r="H247">
        <v>5121.79</v>
      </c>
      <c r="I247">
        <v>3</v>
      </c>
      <c r="J247">
        <v>0.2</v>
      </c>
      <c r="K247">
        <v>1165.22</v>
      </c>
      <c r="L247" t="s">
        <v>18</v>
      </c>
    </row>
    <row r="248" spans="1:12" x14ac:dyDescent="0.3">
      <c r="A248" t="s">
        <v>402</v>
      </c>
      <c r="B248" s="2">
        <v>45837.446893787572</v>
      </c>
      <c r="C248" t="s">
        <v>198</v>
      </c>
      <c r="D248" t="s">
        <v>54</v>
      </c>
      <c r="E248" t="s">
        <v>55</v>
      </c>
      <c r="F248" t="s">
        <v>40</v>
      </c>
      <c r="G248" t="s">
        <v>17</v>
      </c>
      <c r="H248">
        <v>6791.69</v>
      </c>
      <c r="I248">
        <v>3</v>
      </c>
      <c r="J248">
        <v>0</v>
      </c>
      <c r="K248">
        <v>676.99</v>
      </c>
      <c r="L248" t="s">
        <v>51</v>
      </c>
    </row>
    <row r="249" spans="1:12" x14ac:dyDescent="0.3">
      <c r="A249" t="s">
        <v>403</v>
      </c>
      <c r="B249" s="2">
        <v>45838.176352705414</v>
      </c>
      <c r="C249" t="s">
        <v>327</v>
      </c>
      <c r="D249" t="s">
        <v>28</v>
      </c>
      <c r="E249" t="s">
        <v>29</v>
      </c>
      <c r="F249" t="s">
        <v>63</v>
      </c>
      <c r="G249" t="s">
        <v>17</v>
      </c>
      <c r="H249">
        <v>17552.45</v>
      </c>
      <c r="I249">
        <v>1</v>
      </c>
      <c r="J249">
        <v>0.15</v>
      </c>
      <c r="K249">
        <v>3597.07</v>
      </c>
      <c r="L249" t="s">
        <v>18</v>
      </c>
    </row>
    <row r="250" spans="1:12" x14ac:dyDescent="0.3">
      <c r="A250" t="s">
        <v>404</v>
      </c>
      <c r="B250" s="2">
        <v>45838.905811623241</v>
      </c>
      <c r="C250" t="s">
        <v>405</v>
      </c>
      <c r="D250" t="s">
        <v>90</v>
      </c>
      <c r="E250" t="s">
        <v>44</v>
      </c>
      <c r="F250" t="s">
        <v>16</v>
      </c>
      <c r="G250" t="s">
        <v>17</v>
      </c>
      <c r="H250">
        <v>54552.46</v>
      </c>
      <c r="I250">
        <v>4</v>
      </c>
      <c r="J250">
        <v>0.1</v>
      </c>
      <c r="K250">
        <v>10150.049999999999</v>
      </c>
      <c r="L250" t="s">
        <v>68</v>
      </c>
    </row>
    <row r="251" spans="1:12" x14ac:dyDescent="0.3">
      <c r="A251" t="s">
        <v>406</v>
      </c>
      <c r="B251" s="2">
        <v>45839.635270541083</v>
      </c>
      <c r="C251" t="s">
        <v>186</v>
      </c>
      <c r="D251" t="s">
        <v>54</v>
      </c>
      <c r="E251" t="s">
        <v>55</v>
      </c>
      <c r="F251" t="s">
        <v>63</v>
      </c>
      <c r="G251" t="s">
        <v>17</v>
      </c>
      <c r="H251">
        <v>67953.070000000007</v>
      </c>
      <c r="I251">
        <v>3</v>
      </c>
      <c r="J251">
        <v>0.1</v>
      </c>
      <c r="K251">
        <v>13351.73</v>
      </c>
      <c r="L251" t="s">
        <v>18</v>
      </c>
    </row>
    <row r="252" spans="1:12" x14ac:dyDescent="0.3">
      <c r="A252" t="s">
        <v>407</v>
      </c>
      <c r="B252" s="2">
        <v>45840.36472945891</v>
      </c>
      <c r="C252" t="s">
        <v>164</v>
      </c>
      <c r="D252" t="s">
        <v>73</v>
      </c>
      <c r="E252" t="s">
        <v>74</v>
      </c>
      <c r="F252" t="s">
        <v>87</v>
      </c>
      <c r="G252" t="s">
        <v>17</v>
      </c>
      <c r="H252">
        <v>95866.7</v>
      </c>
      <c r="I252">
        <v>2</v>
      </c>
      <c r="J252">
        <v>0.05</v>
      </c>
      <c r="K252">
        <v>15953.69</v>
      </c>
      <c r="L252" t="s">
        <v>31</v>
      </c>
    </row>
    <row r="253" spans="1:12" x14ac:dyDescent="0.3">
      <c r="A253" t="s">
        <v>408</v>
      </c>
      <c r="B253" s="2">
        <v>45841.094188376737</v>
      </c>
      <c r="C253" t="s">
        <v>188</v>
      </c>
      <c r="D253" t="s">
        <v>43</v>
      </c>
      <c r="E253" t="s">
        <v>44</v>
      </c>
      <c r="F253" t="s">
        <v>56</v>
      </c>
      <c r="G253" t="s">
        <v>35</v>
      </c>
      <c r="H253">
        <v>3319.95</v>
      </c>
      <c r="I253">
        <v>4</v>
      </c>
      <c r="J253">
        <v>0</v>
      </c>
      <c r="K253">
        <v>396.71</v>
      </c>
      <c r="L253" t="s">
        <v>68</v>
      </c>
    </row>
    <row r="254" spans="1:12" x14ac:dyDescent="0.3">
      <c r="A254" t="s">
        <v>409</v>
      </c>
      <c r="B254" s="2">
        <v>45841.823647294586</v>
      </c>
      <c r="C254" t="s">
        <v>224</v>
      </c>
      <c r="D254" t="s">
        <v>71</v>
      </c>
      <c r="E254" t="s">
        <v>55</v>
      </c>
      <c r="F254" t="s">
        <v>45</v>
      </c>
      <c r="G254" t="s">
        <v>46</v>
      </c>
      <c r="H254">
        <v>208.69</v>
      </c>
      <c r="I254">
        <v>1</v>
      </c>
      <c r="J254">
        <v>0.1</v>
      </c>
      <c r="K254">
        <v>43.24</v>
      </c>
      <c r="L254" t="s">
        <v>25</v>
      </c>
    </row>
    <row r="255" spans="1:12" x14ac:dyDescent="0.3">
      <c r="A255" t="s">
        <v>410</v>
      </c>
      <c r="B255" s="2">
        <v>45842.553106212421</v>
      </c>
      <c r="C255" t="s">
        <v>411</v>
      </c>
      <c r="D255" t="s">
        <v>21</v>
      </c>
      <c r="E255" t="s">
        <v>22</v>
      </c>
      <c r="F255" t="s">
        <v>56</v>
      </c>
      <c r="G255" t="s">
        <v>35</v>
      </c>
      <c r="H255">
        <v>2261.84</v>
      </c>
      <c r="I255">
        <v>3</v>
      </c>
      <c r="J255">
        <v>0.1</v>
      </c>
      <c r="K255">
        <v>510.25</v>
      </c>
      <c r="L255" t="s">
        <v>25</v>
      </c>
    </row>
    <row r="256" spans="1:12" x14ac:dyDescent="0.3">
      <c r="A256" t="s">
        <v>412</v>
      </c>
      <c r="B256" s="2">
        <v>45843.282565130263</v>
      </c>
      <c r="C256" t="s">
        <v>413</v>
      </c>
      <c r="D256" t="s">
        <v>21</v>
      </c>
      <c r="E256" t="s">
        <v>22</v>
      </c>
      <c r="F256" t="s">
        <v>30</v>
      </c>
      <c r="G256" t="s">
        <v>17</v>
      </c>
      <c r="H256">
        <v>76539.839999999997</v>
      </c>
      <c r="I256">
        <v>3</v>
      </c>
      <c r="J256">
        <v>0.05</v>
      </c>
      <c r="K256">
        <v>12451.75</v>
      </c>
      <c r="L256" t="s">
        <v>18</v>
      </c>
    </row>
    <row r="257" spans="1:12" x14ac:dyDescent="0.3">
      <c r="A257" t="s">
        <v>414</v>
      </c>
      <c r="B257" s="2">
        <v>45844.01202404809</v>
      </c>
      <c r="C257" t="s">
        <v>224</v>
      </c>
      <c r="D257" t="s">
        <v>28</v>
      </c>
      <c r="E257" t="s">
        <v>29</v>
      </c>
      <c r="F257" t="s">
        <v>40</v>
      </c>
      <c r="G257" t="s">
        <v>17</v>
      </c>
      <c r="H257">
        <v>9878.93</v>
      </c>
      <c r="I257">
        <v>5</v>
      </c>
      <c r="J257">
        <v>0.1</v>
      </c>
      <c r="K257">
        <v>2523.35</v>
      </c>
      <c r="L257" t="s">
        <v>51</v>
      </c>
    </row>
    <row r="258" spans="1:12" x14ac:dyDescent="0.3">
      <c r="A258" t="s">
        <v>415</v>
      </c>
      <c r="B258" s="2">
        <v>45844.741482965917</v>
      </c>
      <c r="C258" t="s">
        <v>139</v>
      </c>
      <c r="D258" t="s">
        <v>73</v>
      </c>
      <c r="E258" t="s">
        <v>74</v>
      </c>
      <c r="F258" t="s">
        <v>23</v>
      </c>
      <c r="G258" t="s">
        <v>24</v>
      </c>
      <c r="H258">
        <v>10939.64</v>
      </c>
      <c r="I258">
        <v>1</v>
      </c>
      <c r="J258">
        <v>0.15</v>
      </c>
      <c r="K258">
        <v>1483.2</v>
      </c>
      <c r="L258" t="s">
        <v>51</v>
      </c>
    </row>
    <row r="259" spans="1:12" x14ac:dyDescent="0.3">
      <c r="A259" t="s">
        <v>416</v>
      </c>
      <c r="B259" s="2">
        <v>45845.470941883759</v>
      </c>
      <c r="C259" t="s">
        <v>417</v>
      </c>
      <c r="D259" t="s">
        <v>21</v>
      </c>
      <c r="E259" t="s">
        <v>22</v>
      </c>
      <c r="F259" t="s">
        <v>94</v>
      </c>
      <c r="G259" t="s">
        <v>46</v>
      </c>
      <c r="H259">
        <v>27353.96</v>
      </c>
      <c r="I259">
        <v>2</v>
      </c>
      <c r="J259">
        <v>0.15</v>
      </c>
      <c r="K259">
        <v>5552.73</v>
      </c>
      <c r="L259" t="s">
        <v>68</v>
      </c>
    </row>
    <row r="260" spans="1:12" x14ac:dyDescent="0.3">
      <c r="A260" t="s">
        <v>418</v>
      </c>
      <c r="B260" s="2">
        <v>45846.200400801587</v>
      </c>
      <c r="C260" t="s">
        <v>335</v>
      </c>
      <c r="D260" t="s">
        <v>38</v>
      </c>
      <c r="E260" t="s">
        <v>39</v>
      </c>
      <c r="F260" t="s">
        <v>16</v>
      </c>
      <c r="G260" t="s">
        <v>17</v>
      </c>
      <c r="H260">
        <v>40534.68</v>
      </c>
      <c r="I260">
        <v>4</v>
      </c>
      <c r="J260">
        <v>0.15</v>
      </c>
      <c r="K260">
        <v>3529.04</v>
      </c>
      <c r="L260" t="s">
        <v>51</v>
      </c>
    </row>
    <row r="261" spans="1:12" x14ac:dyDescent="0.3">
      <c r="A261" t="s">
        <v>419</v>
      </c>
      <c r="B261" s="2">
        <v>45846.929859719443</v>
      </c>
      <c r="C261" t="s">
        <v>243</v>
      </c>
      <c r="D261" t="s">
        <v>114</v>
      </c>
      <c r="E261" t="s">
        <v>114</v>
      </c>
      <c r="F261" t="s">
        <v>94</v>
      </c>
      <c r="G261" t="s">
        <v>46</v>
      </c>
      <c r="H261">
        <v>56884.77</v>
      </c>
      <c r="I261">
        <v>4</v>
      </c>
      <c r="J261">
        <v>0</v>
      </c>
      <c r="K261">
        <v>8027.63</v>
      </c>
      <c r="L261" t="s">
        <v>68</v>
      </c>
    </row>
    <row r="262" spans="1:12" x14ac:dyDescent="0.3">
      <c r="A262" t="s">
        <v>420</v>
      </c>
      <c r="B262" s="2">
        <v>45847.65931863727</v>
      </c>
      <c r="C262" t="s">
        <v>421</v>
      </c>
      <c r="D262" t="s">
        <v>73</v>
      </c>
      <c r="E262" t="s">
        <v>74</v>
      </c>
      <c r="F262" t="s">
        <v>16</v>
      </c>
      <c r="G262" t="s">
        <v>17</v>
      </c>
      <c r="H262">
        <v>62059.07</v>
      </c>
      <c r="I262">
        <v>5</v>
      </c>
      <c r="J262">
        <v>0.15</v>
      </c>
      <c r="K262">
        <v>7660.68</v>
      </c>
      <c r="L262" t="s">
        <v>68</v>
      </c>
    </row>
    <row r="263" spans="1:12" x14ac:dyDescent="0.3">
      <c r="A263" t="s">
        <v>422</v>
      </c>
      <c r="B263" s="2">
        <v>45848.388777555097</v>
      </c>
      <c r="C263" t="s">
        <v>103</v>
      </c>
      <c r="D263" t="s">
        <v>28</v>
      </c>
      <c r="E263" t="s">
        <v>29</v>
      </c>
      <c r="F263" t="s">
        <v>23</v>
      </c>
      <c r="G263" t="s">
        <v>24</v>
      </c>
      <c r="H263">
        <v>51523.28</v>
      </c>
      <c r="I263">
        <v>5</v>
      </c>
      <c r="J263">
        <v>0</v>
      </c>
      <c r="K263">
        <v>5990.3</v>
      </c>
      <c r="L263" t="s">
        <v>25</v>
      </c>
    </row>
    <row r="264" spans="1:12" x14ac:dyDescent="0.3">
      <c r="A264" t="s">
        <v>423</v>
      </c>
      <c r="B264" s="2">
        <v>45849.118236472939</v>
      </c>
      <c r="C264" t="s">
        <v>424</v>
      </c>
      <c r="D264" t="s">
        <v>71</v>
      </c>
      <c r="E264" t="s">
        <v>55</v>
      </c>
      <c r="F264" t="s">
        <v>23</v>
      </c>
      <c r="G264" t="s">
        <v>24</v>
      </c>
      <c r="H264">
        <v>55295.74</v>
      </c>
      <c r="I264">
        <v>5</v>
      </c>
      <c r="J264">
        <v>0.1</v>
      </c>
      <c r="K264">
        <v>10624.08</v>
      </c>
      <c r="L264" t="s">
        <v>51</v>
      </c>
    </row>
    <row r="265" spans="1:12" x14ac:dyDescent="0.3">
      <c r="A265" t="s">
        <v>425</v>
      </c>
      <c r="B265" s="2">
        <v>45849.847695390767</v>
      </c>
      <c r="C265" t="s">
        <v>158</v>
      </c>
      <c r="D265" t="s">
        <v>71</v>
      </c>
      <c r="E265" t="s">
        <v>55</v>
      </c>
      <c r="F265" t="s">
        <v>63</v>
      </c>
      <c r="G265" t="s">
        <v>17</v>
      </c>
      <c r="H265">
        <v>74973.279999999999</v>
      </c>
      <c r="I265">
        <v>4</v>
      </c>
      <c r="J265">
        <v>0.1</v>
      </c>
      <c r="K265">
        <v>8232.06</v>
      </c>
      <c r="L265" t="s">
        <v>68</v>
      </c>
    </row>
    <row r="266" spans="1:12" x14ac:dyDescent="0.3">
      <c r="A266" t="s">
        <v>426</v>
      </c>
      <c r="B266" s="2">
        <v>45850.577154308608</v>
      </c>
      <c r="C266" t="s">
        <v>427</v>
      </c>
      <c r="D266" t="s">
        <v>54</v>
      </c>
      <c r="E266" t="s">
        <v>55</v>
      </c>
      <c r="F266" t="s">
        <v>40</v>
      </c>
      <c r="G266" t="s">
        <v>17</v>
      </c>
      <c r="H266">
        <v>10619.05</v>
      </c>
      <c r="I266">
        <v>5</v>
      </c>
      <c r="J266">
        <v>0.05</v>
      </c>
      <c r="K266">
        <v>1771.3</v>
      </c>
      <c r="L266" t="s">
        <v>31</v>
      </c>
    </row>
    <row r="267" spans="1:12" x14ac:dyDescent="0.3">
      <c r="A267" t="s">
        <v>428</v>
      </c>
      <c r="B267" s="2">
        <v>45851.30661322645</v>
      </c>
      <c r="C267" t="s">
        <v>179</v>
      </c>
      <c r="D267" t="s">
        <v>21</v>
      </c>
      <c r="E267" t="s">
        <v>22</v>
      </c>
      <c r="F267" t="s">
        <v>63</v>
      </c>
      <c r="G267" t="s">
        <v>17</v>
      </c>
      <c r="H267">
        <v>64150.6</v>
      </c>
      <c r="I267">
        <v>3</v>
      </c>
      <c r="J267">
        <v>0.1</v>
      </c>
      <c r="K267">
        <v>8973.94</v>
      </c>
      <c r="L267" t="s">
        <v>25</v>
      </c>
    </row>
    <row r="268" spans="1:12" x14ac:dyDescent="0.3">
      <c r="A268" t="s">
        <v>429</v>
      </c>
      <c r="B268" s="2">
        <v>45852.036072144278</v>
      </c>
      <c r="C268" t="s">
        <v>395</v>
      </c>
      <c r="D268" t="s">
        <v>54</v>
      </c>
      <c r="E268" t="s">
        <v>55</v>
      </c>
      <c r="F268" t="s">
        <v>34</v>
      </c>
      <c r="G268" t="s">
        <v>35</v>
      </c>
      <c r="H268">
        <v>6254.17</v>
      </c>
      <c r="I268">
        <v>4</v>
      </c>
      <c r="J268">
        <v>0.1</v>
      </c>
      <c r="K268">
        <v>1235.54</v>
      </c>
      <c r="L268" t="s">
        <v>68</v>
      </c>
    </row>
    <row r="269" spans="1:12" x14ac:dyDescent="0.3">
      <c r="A269" t="s">
        <v>430</v>
      </c>
      <c r="B269" s="2">
        <v>45852.765531062119</v>
      </c>
      <c r="C269" t="s">
        <v>177</v>
      </c>
      <c r="D269" t="s">
        <v>73</v>
      </c>
      <c r="E269" t="s">
        <v>74</v>
      </c>
      <c r="F269" t="s">
        <v>30</v>
      </c>
      <c r="G269" t="s">
        <v>17</v>
      </c>
      <c r="H269">
        <v>77207.31</v>
      </c>
      <c r="I269">
        <v>3</v>
      </c>
      <c r="J269">
        <v>0</v>
      </c>
      <c r="K269">
        <v>19019.2</v>
      </c>
      <c r="L269" t="s">
        <v>18</v>
      </c>
    </row>
    <row r="270" spans="1:12" x14ac:dyDescent="0.3">
      <c r="A270" t="s">
        <v>431</v>
      </c>
      <c r="B270" s="2">
        <v>45853.494989979947</v>
      </c>
      <c r="C270" t="s">
        <v>432</v>
      </c>
      <c r="D270" t="s">
        <v>71</v>
      </c>
      <c r="E270" t="s">
        <v>55</v>
      </c>
      <c r="F270" t="s">
        <v>106</v>
      </c>
      <c r="G270" t="s">
        <v>35</v>
      </c>
      <c r="H270">
        <v>4759.5600000000004</v>
      </c>
      <c r="I270">
        <v>3</v>
      </c>
      <c r="J270">
        <v>0.05</v>
      </c>
      <c r="K270">
        <v>1211.53</v>
      </c>
      <c r="L270" t="s">
        <v>31</v>
      </c>
    </row>
    <row r="271" spans="1:12" x14ac:dyDescent="0.3">
      <c r="A271" t="s">
        <v>433</v>
      </c>
      <c r="B271" s="2">
        <v>45854.224448897789</v>
      </c>
      <c r="C271" t="s">
        <v>156</v>
      </c>
      <c r="D271" t="s">
        <v>114</v>
      </c>
      <c r="E271" t="s">
        <v>114</v>
      </c>
      <c r="F271" t="s">
        <v>45</v>
      </c>
      <c r="G271" t="s">
        <v>46</v>
      </c>
      <c r="H271">
        <v>1194.53</v>
      </c>
      <c r="I271">
        <v>5</v>
      </c>
      <c r="J271">
        <v>0.1</v>
      </c>
      <c r="K271">
        <v>107.47</v>
      </c>
      <c r="L271" t="s">
        <v>18</v>
      </c>
    </row>
    <row r="272" spans="1:12" x14ac:dyDescent="0.3">
      <c r="A272" t="s">
        <v>434</v>
      </c>
      <c r="B272" s="2">
        <v>45854.953907815623</v>
      </c>
      <c r="C272" t="s">
        <v>27</v>
      </c>
      <c r="D272" t="s">
        <v>90</v>
      </c>
      <c r="E272" t="s">
        <v>44</v>
      </c>
      <c r="F272" t="s">
        <v>23</v>
      </c>
      <c r="G272" t="s">
        <v>24</v>
      </c>
      <c r="H272">
        <v>10225.31</v>
      </c>
      <c r="I272">
        <v>1</v>
      </c>
      <c r="J272">
        <v>0</v>
      </c>
      <c r="K272">
        <v>1278.6199999999999</v>
      </c>
      <c r="L272" t="s">
        <v>25</v>
      </c>
    </row>
    <row r="273" spans="1:12" x14ac:dyDescent="0.3">
      <c r="A273" t="s">
        <v>435</v>
      </c>
      <c r="B273" s="2">
        <v>45855.683366733458</v>
      </c>
      <c r="C273" t="s">
        <v>89</v>
      </c>
      <c r="D273" t="s">
        <v>49</v>
      </c>
      <c r="E273" t="s">
        <v>50</v>
      </c>
      <c r="F273" t="s">
        <v>94</v>
      </c>
      <c r="G273" t="s">
        <v>46</v>
      </c>
      <c r="H273">
        <v>48679.19</v>
      </c>
      <c r="I273">
        <v>4</v>
      </c>
      <c r="J273">
        <v>0.05</v>
      </c>
      <c r="K273">
        <v>4328.5</v>
      </c>
      <c r="L273" t="s">
        <v>18</v>
      </c>
    </row>
    <row r="274" spans="1:12" x14ac:dyDescent="0.3">
      <c r="A274" t="s">
        <v>436</v>
      </c>
      <c r="B274" s="2">
        <v>45856.412825651299</v>
      </c>
      <c r="C274" t="s">
        <v>437</v>
      </c>
      <c r="D274" t="s">
        <v>14</v>
      </c>
      <c r="E274" t="s">
        <v>15</v>
      </c>
      <c r="F274" t="s">
        <v>63</v>
      </c>
      <c r="G274" t="s">
        <v>17</v>
      </c>
      <c r="H274">
        <v>34841.279999999999</v>
      </c>
      <c r="I274">
        <v>2</v>
      </c>
      <c r="J274">
        <v>0.15</v>
      </c>
      <c r="K274">
        <v>5921.2</v>
      </c>
      <c r="L274" t="s">
        <v>68</v>
      </c>
    </row>
    <row r="275" spans="1:12" x14ac:dyDescent="0.3">
      <c r="A275" t="s">
        <v>438</v>
      </c>
      <c r="B275" s="2">
        <v>45857.142284569127</v>
      </c>
      <c r="C275" t="s">
        <v>282</v>
      </c>
      <c r="D275" t="s">
        <v>54</v>
      </c>
      <c r="E275" t="s">
        <v>55</v>
      </c>
      <c r="F275" t="s">
        <v>23</v>
      </c>
      <c r="G275" t="s">
        <v>24</v>
      </c>
      <c r="H275">
        <v>25021.32</v>
      </c>
      <c r="I275">
        <v>3</v>
      </c>
      <c r="J275">
        <v>0.2</v>
      </c>
      <c r="K275">
        <v>2698.53</v>
      </c>
      <c r="L275" t="s">
        <v>31</v>
      </c>
    </row>
    <row r="276" spans="1:12" x14ac:dyDescent="0.3">
      <c r="A276" t="s">
        <v>439</v>
      </c>
      <c r="B276" s="2">
        <v>45857.871743486969</v>
      </c>
      <c r="C276" t="s">
        <v>202</v>
      </c>
      <c r="D276" t="s">
        <v>21</v>
      </c>
      <c r="E276" t="s">
        <v>22</v>
      </c>
      <c r="F276" t="s">
        <v>75</v>
      </c>
      <c r="G276" t="s">
        <v>24</v>
      </c>
      <c r="H276">
        <v>17329.7</v>
      </c>
      <c r="I276">
        <v>2</v>
      </c>
      <c r="J276">
        <v>0.1</v>
      </c>
      <c r="K276">
        <v>1829.98</v>
      </c>
      <c r="L276" t="s">
        <v>51</v>
      </c>
    </row>
    <row r="277" spans="1:12" x14ac:dyDescent="0.3">
      <c r="A277" t="s">
        <v>440</v>
      </c>
      <c r="B277" s="2">
        <v>45858.601202404803</v>
      </c>
      <c r="C277" t="s">
        <v>216</v>
      </c>
      <c r="D277" t="s">
        <v>73</v>
      </c>
      <c r="E277" t="s">
        <v>74</v>
      </c>
      <c r="F277" t="s">
        <v>63</v>
      </c>
      <c r="G277" t="s">
        <v>17</v>
      </c>
      <c r="H277">
        <v>17570.86</v>
      </c>
      <c r="I277">
        <v>1</v>
      </c>
      <c r="J277">
        <v>0.2</v>
      </c>
      <c r="K277">
        <v>1915.1</v>
      </c>
      <c r="L277" t="s">
        <v>68</v>
      </c>
    </row>
    <row r="278" spans="1:12" x14ac:dyDescent="0.3">
      <c r="A278" t="s">
        <v>441</v>
      </c>
      <c r="B278" s="2">
        <v>45859.330661322638</v>
      </c>
      <c r="C278" t="s">
        <v>168</v>
      </c>
      <c r="D278" t="s">
        <v>49</v>
      </c>
      <c r="E278" t="s">
        <v>50</v>
      </c>
      <c r="F278" t="s">
        <v>87</v>
      </c>
      <c r="G278" t="s">
        <v>17</v>
      </c>
      <c r="H278">
        <v>124424.47</v>
      </c>
      <c r="I278">
        <v>3</v>
      </c>
      <c r="J278">
        <v>0.2</v>
      </c>
      <c r="K278">
        <v>34026.51</v>
      </c>
      <c r="L278" t="s">
        <v>51</v>
      </c>
    </row>
    <row r="279" spans="1:12" x14ac:dyDescent="0.3">
      <c r="A279" t="s">
        <v>442</v>
      </c>
      <c r="B279" s="2">
        <v>45860.060120240472</v>
      </c>
      <c r="C279" t="s">
        <v>424</v>
      </c>
      <c r="D279" t="s">
        <v>114</v>
      </c>
      <c r="E279" t="s">
        <v>114</v>
      </c>
      <c r="F279" t="s">
        <v>16</v>
      </c>
      <c r="G279" t="s">
        <v>17</v>
      </c>
      <c r="H279">
        <v>22091.63</v>
      </c>
      <c r="I279">
        <v>2</v>
      </c>
      <c r="J279">
        <v>0.1</v>
      </c>
      <c r="K279">
        <v>4175.78</v>
      </c>
      <c r="L279" t="s">
        <v>25</v>
      </c>
    </row>
    <row r="280" spans="1:12" x14ac:dyDescent="0.3">
      <c r="A280" t="s">
        <v>443</v>
      </c>
      <c r="B280" s="2">
        <v>45860.789579158307</v>
      </c>
      <c r="C280" t="s">
        <v>269</v>
      </c>
      <c r="D280" t="s">
        <v>73</v>
      </c>
      <c r="E280" t="s">
        <v>74</v>
      </c>
      <c r="F280" t="s">
        <v>34</v>
      </c>
      <c r="G280" t="s">
        <v>35</v>
      </c>
      <c r="H280">
        <v>1761.77</v>
      </c>
      <c r="I280">
        <v>1</v>
      </c>
      <c r="J280">
        <v>0.1</v>
      </c>
      <c r="K280">
        <v>356.9</v>
      </c>
      <c r="L280" t="s">
        <v>31</v>
      </c>
    </row>
    <row r="281" spans="1:12" x14ac:dyDescent="0.3">
      <c r="A281" t="s">
        <v>444</v>
      </c>
      <c r="B281" s="2">
        <v>45861.519038076149</v>
      </c>
      <c r="C281" t="s">
        <v>144</v>
      </c>
      <c r="D281" t="s">
        <v>73</v>
      </c>
      <c r="E281" t="s">
        <v>74</v>
      </c>
      <c r="F281" t="s">
        <v>106</v>
      </c>
      <c r="G281" t="s">
        <v>35</v>
      </c>
      <c r="H281">
        <v>8672.8700000000008</v>
      </c>
      <c r="I281">
        <v>5</v>
      </c>
      <c r="J281">
        <v>0.15</v>
      </c>
      <c r="K281">
        <v>1854.3</v>
      </c>
      <c r="L281" t="s">
        <v>68</v>
      </c>
    </row>
    <row r="282" spans="1:12" x14ac:dyDescent="0.3">
      <c r="A282" t="s">
        <v>445</v>
      </c>
      <c r="B282" s="2">
        <v>45862.248496993983</v>
      </c>
      <c r="C282" t="s">
        <v>13</v>
      </c>
      <c r="D282" t="s">
        <v>14</v>
      </c>
      <c r="E282" t="s">
        <v>15</v>
      </c>
      <c r="F282" t="s">
        <v>56</v>
      </c>
      <c r="G282" t="s">
        <v>35</v>
      </c>
      <c r="H282">
        <v>2814.52</v>
      </c>
      <c r="I282">
        <v>4</v>
      </c>
      <c r="J282">
        <v>0.1</v>
      </c>
      <c r="K282">
        <v>679.09</v>
      </c>
      <c r="L282" t="s">
        <v>18</v>
      </c>
    </row>
    <row r="283" spans="1:12" x14ac:dyDescent="0.3">
      <c r="A283" t="s">
        <v>446</v>
      </c>
      <c r="B283" s="2">
        <v>45862.977955911818</v>
      </c>
      <c r="C283" t="s">
        <v>198</v>
      </c>
      <c r="D283" t="s">
        <v>90</v>
      </c>
      <c r="E283" t="s">
        <v>44</v>
      </c>
      <c r="F283" t="s">
        <v>75</v>
      </c>
      <c r="G283" t="s">
        <v>24</v>
      </c>
      <c r="H283">
        <v>38449.86</v>
      </c>
      <c r="I283">
        <v>5</v>
      </c>
      <c r="J283">
        <v>0.05</v>
      </c>
      <c r="K283">
        <v>8895.39</v>
      </c>
      <c r="L283" t="s">
        <v>68</v>
      </c>
    </row>
    <row r="284" spans="1:12" x14ac:dyDescent="0.3">
      <c r="A284" t="s">
        <v>447</v>
      </c>
      <c r="B284" s="2">
        <v>45863.707414829652</v>
      </c>
      <c r="C284" t="s">
        <v>164</v>
      </c>
      <c r="D284" t="s">
        <v>28</v>
      </c>
      <c r="E284" t="s">
        <v>29</v>
      </c>
      <c r="F284" t="s">
        <v>16</v>
      </c>
      <c r="G284" t="s">
        <v>17</v>
      </c>
      <c r="H284">
        <v>41513.83</v>
      </c>
      <c r="I284">
        <v>4</v>
      </c>
      <c r="J284">
        <v>0.2</v>
      </c>
      <c r="K284">
        <v>7972.17</v>
      </c>
      <c r="L284" t="s">
        <v>31</v>
      </c>
    </row>
    <row r="285" spans="1:12" x14ac:dyDescent="0.3">
      <c r="A285" t="s">
        <v>448</v>
      </c>
      <c r="B285" s="2">
        <v>45864.436873747487</v>
      </c>
      <c r="C285" t="s">
        <v>89</v>
      </c>
      <c r="D285" t="s">
        <v>43</v>
      </c>
      <c r="E285" t="s">
        <v>44</v>
      </c>
      <c r="F285" t="s">
        <v>94</v>
      </c>
      <c r="G285" t="s">
        <v>46</v>
      </c>
      <c r="H285">
        <v>45472.02</v>
      </c>
      <c r="I285">
        <v>3</v>
      </c>
      <c r="J285">
        <v>0.1</v>
      </c>
      <c r="K285">
        <v>8165.07</v>
      </c>
      <c r="L285" t="s">
        <v>25</v>
      </c>
    </row>
    <row r="286" spans="1:12" x14ac:dyDescent="0.3">
      <c r="A286" t="s">
        <v>449</v>
      </c>
      <c r="B286" s="2">
        <v>45865.166332665322</v>
      </c>
      <c r="C286" t="s">
        <v>158</v>
      </c>
      <c r="D286" t="s">
        <v>14</v>
      </c>
      <c r="E286" t="s">
        <v>15</v>
      </c>
      <c r="F286" t="s">
        <v>94</v>
      </c>
      <c r="G286" t="s">
        <v>46</v>
      </c>
      <c r="H286">
        <v>36877.82</v>
      </c>
      <c r="I286">
        <v>3</v>
      </c>
      <c r="J286">
        <v>0.15</v>
      </c>
      <c r="K286">
        <v>10063.780000000001</v>
      </c>
      <c r="L286" t="s">
        <v>25</v>
      </c>
    </row>
    <row r="287" spans="1:12" x14ac:dyDescent="0.3">
      <c r="A287" t="s">
        <v>450</v>
      </c>
      <c r="B287" s="2">
        <v>45865.895791583163</v>
      </c>
      <c r="C287" t="s">
        <v>424</v>
      </c>
      <c r="D287" t="s">
        <v>61</v>
      </c>
      <c r="E287" t="s">
        <v>62</v>
      </c>
      <c r="F287" t="s">
        <v>94</v>
      </c>
      <c r="G287" t="s">
        <v>46</v>
      </c>
      <c r="H287">
        <v>53177.15</v>
      </c>
      <c r="I287">
        <v>4</v>
      </c>
      <c r="J287">
        <v>0.05</v>
      </c>
      <c r="K287">
        <v>11089.29</v>
      </c>
      <c r="L287" t="s">
        <v>51</v>
      </c>
    </row>
    <row r="288" spans="1:12" x14ac:dyDescent="0.3">
      <c r="A288" t="s">
        <v>451</v>
      </c>
      <c r="B288" s="2">
        <v>45866.625250500998</v>
      </c>
      <c r="C288" t="s">
        <v>265</v>
      </c>
      <c r="D288" t="s">
        <v>61</v>
      </c>
      <c r="E288" t="s">
        <v>62</v>
      </c>
      <c r="F288" t="s">
        <v>16</v>
      </c>
      <c r="G288" t="s">
        <v>17</v>
      </c>
      <c r="H288">
        <v>45350.44</v>
      </c>
      <c r="I288">
        <v>4</v>
      </c>
      <c r="J288">
        <v>0.1</v>
      </c>
      <c r="K288">
        <v>6921.39</v>
      </c>
      <c r="L288" t="s">
        <v>18</v>
      </c>
    </row>
    <row r="289" spans="1:12" x14ac:dyDescent="0.3">
      <c r="A289" t="s">
        <v>452</v>
      </c>
      <c r="B289" s="2">
        <v>45867.354709418832</v>
      </c>
      <c r="C289" t="s">
        <v>293</v>
      </c>
      <c r="D289" t="s">
        <v>49</v>
      </c>
      <c r="E289" t="s">
        <v>50</v>
      </c>
      <c r="F289" t="s">
        <v>56</v>
      </c>
      <c r="G289" t="s">
        <v>35</v>
      </c>
      <c r="H289">
        <v>926.49</v>
      </c>
      <c r="I289">
        <v>1</v>
      </c>
      <c r="J289">
        <v>0</v>
      </c>
      <c r="K289">
        <v>141.51</v>
      </c>
      <c r="L289" t="s">
        <v>25</v>
      </c>
    </row>
    <row r="290" spans="1:12" x14ac:dyDescent="0.3">
      <c r="A290" t="s">
        <v>453</v>
      </c>
      <c r="B290" s="2">
        <v>45868.084168336667</v>
      </c>
      <c r="C290" t="s">
        <v>67</v>
      </c>
      <c r="D290" t="s">
        <v>28</v>
      </c>
      <c r="E290" t="s">
        <v>29</v>
      </c>
      <c r="F290" t="s">
        <v>56</v>
      </c>
      <c r="G290" t="s">
        <v>35</v>
      </c>
      <c r="H290">
        <v>2558.3000000000002</v>
      </c>
      <c r="I290">
        <v>3</v>
      </c>
      <c r="J290">
        <v>0.15</v>
      </c>
      <c r="K290">
        <v>463.16</v>
      </c>
      <c r="L290" t="s">
        <v>68</v>
      </c>
    </row>
    <row r="291" spans="1:12" x14ac:dyDescent="0.3">
      <c r="A291" t="s">
        <v>454</v>
      </c>
      <c r="B291" s="2">
        <v>45868.813627254502</v>
      </c>
      <c r="C291" t="s">
        <v>65</v>
      </c>
      <c r="D291" t="s">
        <v>114</v>
      </c>
      <c r="E291" t="s">
        <v>114</v>
      </c>
      <c r="F291" t="s">
        <v>30</v>
      </c>
      <c r="G291" t="s">
        <v>17</v>
      </c>
      <c r="H291">
        <v>110315.85</v>
      </c>
      <c r="I291">
        <v>4</v>
      </c>
      <c r="J291">
        <v>0.2</v>
      </c>
      <c r="K291">
        <v>23301.66</v>
      </c>
      <c r="L291" t="s">
        <v>31</v>
      </c>
    </row>
    <row r="292" spans="1:12" x14ac:dyDescent="0.3">
      <c r="A292" t="s">
        <v>455</v>
      </c>
      <c r="B292" s="2">
        <v>45869.543086172343</v>
      </c>
      <c r="C292" t="s">
        <v>456</v>
      </c>
      <c r="D292" t="s">
        <v>71</v>
      </c>
      <c r="E292" t="s">
        <v>55</v>
      </c>
      <c r="F292" t="s">
        <v>87</v>
      </c>
      <c r="G292" t="s">
        <v>17</v>
      </c>
      <c r="H292">
        <v>199305.74</v>
      </c>
      <c r="I292">
        <v>4</v>
      </c>
      <c r="J292">
        <v>0.15</v>
      </c>
      <c r="K292">
        <v>19109.7</v>
      </c>
      <c r="L292" t="s">
        <v>68</v>
      </c>
    </row>
    <row r="293" spans="1:12" x14ac:dyDescent="0.3">
      <c r="A293" t="s">
        <v>457</v>
      </c>
      <c r="B293" s="2">
        <v>45870.272545090171</v>
      </c>
      <c r="C293" t="s">
        <v>219</v>
      </c>
      <c r="D293" t="s">
        <v>61</v>
      </c>
      <c r="E293" t="s">
        <v>62</v>
      </c>
      <c r="F293" t="s">
        <v>94</v>
      </c>
      <c r="G293" t="s">
        <v>46</v>
      </c>
      <c r="H293">
        <v>67527.740000000005</v>
      </c>
      <c r="I293">
        <v>4</v>
      </c>
      <c r="J293">
        <v>0</v>
      </c>
      <c r="K293">
        <v>15660.8</v>
      </c>
      <c r="L293" t="s">
        <v>25</v>
      </c>
    </row>
    <row r="294" spans="1:12" x14ac:dyDescent="0.3">
      <c r="A294" t="s">
        <v>458</v>
      </c>
      <c r="B294" s="2">
        <v>45871.002004008013</v>
      </c>
      <c r="C294" t="s">
        <v>421</v>
      </c>
      <c r="D294" t="s">
        <v>61</v>
      </c>
      <c r="E294" t="s">
        <v>62</v>
      </c>
      <c r="F294" t="s">
        <v>94</v>
      </c>
      <c r="G294" t="s">
        <v>46</v>
      </c>
      <c r="H294">
        <v>59051.4</v>
      </c>
      <c r="I294">
        <v>5</v>
      </c>
      <c r="J294">
        <v>0.15</v>
      </c>
      <c r="K294">
        <v>15115.06</v>
      </c>
      <c r="L294" t="s">
        <v>25</v>
      </c>
    </row>
    <row r="295" spans="1:12" x14ac:dyDescent="0.3">
      <c r="A295" t="s">
        <v>459</v>
      </c>
      <c r="B295" s="2">
        <v>45871.731462925847</v>
      </c>
      <c r="C295" t="s">
        <v>405</v>
      </c>
      <c r="D295" t="s">
        <v>49</v>
      </c>
      <c r="E295" t="s">
        <v>50</v>
      </c>
      <c r="F295" t="s">
        <v>45</v>
      </c>
      <c r="G295" t="s">
        <v>46</v>
      </c>
      <c r="H295">
        <v>230.49</v>
      </c>
      <c r="I295">
        <v>1</v>
      </c>
      <c r="J295">
        <v>0</v>
      </c>
      <c r="K295">
        <v>34.479999999999997</v>
      </c>
      <c r="L295" t="s">
        <v>18</v>
      </c>
    </row>
    <row r="296" spans="1:12" x14ac:dyDescent="0.3">
      <c r="A296" t="s">
        <v>460</v>
      </c>
      <c r="B296" s="2">
        <v>45872.460921843682</v>
      </c>
      <c r="C296" t="s">
        <v>70</v>
      </c>
      <c r="D296" t="s">
        <v>38</v>
      </c>
      <c r="E296" t="s">
        <v>39</v>
      </c>
      <c r="F296" t="s">
        <v>75</v>
      </c>
      <c r="G296" t="s">
        <v>24</v>
      </c>
      <c r="H296">
        <v>9425.81</v>
      </c>
      <c r="I296">
        <v>1</v>
      </c>
      <c r="J296">
        <v>0.05</v>
      </c>
      <c r="K296">
        <v>2599.84</v>
      </c>
      <c r="L296" t="s">
        <v>25</v>
      </c>
    </row>
    <row r="297" spans="1:12" x14ac:dyDescent="0.3">
      <c r="A297" t="s">
        <v>461</v>
      </c>
      <c r="B297" s="2">
        <v>45873.190380761524</v>
      </c>
      <c r="C297" t="s">
        <v>395</v>
      </c>
      <c r="D297" t="s">
        <v>43</v>
      </c>
      <c r="E297" t="s">
        <v>44</v>
      </c>
      <c r="F297" t="s">
        <v>30</v>
      </c>
      <c r="G297" t="s">
        <v>17</v>
      </c>
      <c r="H297">
        <v>95030.83</v>
      </c>
      <c r="I297">
        <v>3</v>
      </c>
      <c r="J297">
        <v>0</v>
      </c>
      <c r="K297">
        <v>10926.29</v>
      </c>
      <c r="L297" t="s">
        <v>25</v>
      </c>
    </row>
    <row r="298" spans="1:12" x14ac:dyDescent="0.3">
      <c r="A298" t="s">
        <v>462</v>
      </c>
      <c r="B298" s="2">
        <v>45873.919839679351</v>
      </c>
      <c r="C298" t="s">
        <v>456</v>
      </c>
      <c r="D298" t="s">
        <v>90</v>
      </c>
      <c r="E298" t="s">
        <v>44</v>
      </c>
      <c r="F298" t="s">
        <v>23</v>
      </c>
      <c r="G298" t="s">
        <v>24</v>
      </c>
      <c r="H298">
        <v>34287.15</v>
      </c>
      <c r="I298">
        <v>3</v>
      </c>
      <c r="J298">
        <v>0.1</v>
      </c>
      <c r="K298">
        <v>4836.62</v>
      </c>
      <c r="L298" t="s">
        <v>31</v>
      </c>
    </row>
    <row r="299" spans="1:12" x14ac:dyDescent="0.3">
      <c r="A299" t="s">
        <v>463</v>
      </c>
      <c r="B299" s="2">
        <v>45874.649298597193</v>
      </c>
      <c r="C299" t="s">
        <v>329</v>
      </c>
      <c r="D299" t="s">
        <v>114</v>
      </c>
      <c r="E299" t="s">
        <v>114</v>
      </c>
      <c r="F299" t="s">
        <v>106</v>
      </c>
      <c r="G299" t="s">
        <v>35</v>
      </c>
      <c r="H299">
        <v>6924.73</v>
      </c>
      <c r="I299">
        <v>4</v>
      </c>
      <c r="J299">
        <v>0.15</v>
      </c>
      <c r="K299">
        <v>1614.94</v>
      </c>
      <c r="L299" t="s">
        <v>18</v>
      </c>
    </row>
    <row r="300" spans="1:12" x14ac:dyDescent="0.3">
      <c r="A300" t="s">
        <v>464</v>
      </c>
      <c r="B300" s="2">
        <v>45875.37875751502</v>
      </c>
      <c r="C300" t="s">
        <v>79</v>
      </c>
      <c r="D300" t="s">
        <v>90</v>
      </c>
      <c r="E300" t="s">
        <v>44</v>
      </c>
      <c r="F300" t="s">
        <v>56</v>
      </c>
      <c r="G300" t="s">
        <v>35</v>
      </c>
      <c r="H300">
        <v>2295.15</v>
      </c>
      <c r="I300">
        <v>3</v>
      </c>
      <c r="J300">
        <v>0</v>
      </c>
      <c r="K300">
        <v>362.52</v>
      </c>
      <c r="L300" t="s">
        <v>68</v>
      </c>
    </row>
    <row r="301" spans="1:12" x14ac:dyDescent="0.3">
      <c r="A301" t="s">
        <v>465</v>
      </c>
      <c r="B301" s="2">
        <v>45876.108216432862</v>
      </c>
      <c r="C301" t="s">
        <v>131</v>
      </c>
      <c r="D301" t="s">
        <v>49</v>
      </c>
      <c r="E301" t="s">
        <v>50</v>
      </c>
      <c r="F301" t="s">
        <v>40</v>
      </c>
      <c r="G301" t="s">
        <v>17</v>
      </c>
      <c r="H301">
        <v>8572.7999999999993</v>
      </c>
      <c r="I301">
        <v>3</v>
      </c>
      <c r="J301">
        <v>0</v>
      </c>
      <c r="K301">
        <v>1410.31</v>
      </c>
      <c r="L301" t="s">
        <v>51</v>
      </c>
    </row>
    <row r="302" spans="1:12" x14ac:dyDescent="0.3">
      <c r="A302" t="s">
        <v>466</v>
      </c>
      <c r="B302" s="2">
        <v>45876.837675350696</v>
      </c>
      <c r="C302" t="s">
        <v>395</v>
      </c>
      <c r="D302" t="s">
        <v>28</v>
      </c>
      <c r="E302" t="s">
        <v>29</v>
      </c>
      <c r="F302" t="s">
        <v>75</v>
      </c>
      <c r="G302" t="s">
        <v>24</v>
      </c>
      <c r="H302">
        <v>6751.19</v>
      </c>
      <c r="I302">
        <v>1</v>
      </c>
      <c r="J302">
        <v>0.2</v>
      </c>
      <c r="K302">
        <v>1558.12</v>
      </c>
      <c r="L302" t="s">
        <v>68</v>
      </c>
    </row>
    <row r="303" spans="1:12" x14ac:dyDescent="0.3">
      <c r="A303" t="s">
        <v>467</v>
      </c>
      <c r="B303" s="2">
        <v>45877.567134268531</v>
      </c>
      <c r="C303" t="s">
        <v>53</v>
      </c>
      <c r="D303" t="s">
        <v>14</v>
      </c>
      <c r="E303" t="s">
        <v>15</v>
      </c>
      <c r="F303" t="s">
        <v>94</v>
      </c>
      <c r="G303" t="s">
        <v>46</v>
      </c>
      <c r="H303">
        <v>42058.09</v>
      </c>
      <c r="I303">
        <v>3</v>
      </c>
      <c r="J303">
        <v>0.1</v>
      </c>
      <c r="K303">
        <v>8706.77</v>
      </c>
      <c r="L303" t="s">
        <v>68</v>
      </c>
    </row>
    <row r="304" spans="1:12" x14ac:dyDescent="0.3">
      <c r="A304" t="s">
        <v>468</v>
      </c>
      <c r="B304" s="2">
        <v>45878.296593186373</v>
      </c>
      <c r="C304" t="s">
        <v>129</v>
      </c>
      <c r="D304" t="s">
        <v>54</v>
      </c>
      <c r="E304" t="s">
        <v>55</v>
      </c>
      <c r="F304" t="s">
        <v>23</v>
      </c>
      <c r="G304" t="s">
        <v>24</v>
      </c>
      <c r="H304">
        <v>11070.82</v>
      </c>
      <c r="I304">
        <v>1</v>
      </c>
      <c r="J304">
        <v>0</v>
      </c>
      <c r="K304">
        <v>1923.59</v>
      </c>
      <c r="L304" t="s">
        <v>18</v>
      </c>
    </row>
    <row r="305" spans="1:12" x14ac:dyDescent="0.3">
      <c r="A305" t="s">
        <v>469</v>
      </c>
      <c r="B305" s="2">
        <v>45879.0260521042</v>
      </c>
      <c r="C305" t="s">
        <v>470</v>
      </c>
      <c r="D305" t="s">
        <v>38</v>
      </c>
      <c r="E305" t="s">
        <v>39</v>
      </c>
      <c r="F305" t="s">
        <v>34</v>
      </c>
      <c r="G305" t="s">
        <v>35</v>
      </c>
      <c r="H305">
        <v>1244.8</v>
      </c>
      <c r="I305">
        <v>1</v>
      </c>
      <c r="J305">
        <v>0.2</v>
      </c>
      <c r="K305">
        <v>311.76</v>
      </c>
      <c r="L305" t="s">
        <v>31</v>
      </c>
    </row>
    <row r="306" spans="1:12" x14ac:dyDescent="0.3">
      <c r="A306" t="s">
        <v>471</v>
      </c>
      <c r="B306" s="2">
        <v>45879.755511022027</v>
      </c>
      <c r="C306" t="s">
        <v>265</v>
      </c>
      <c r="D306" t="s">
        <v>49</v>
      </c>
      <c r="E306" t="s">
        <v>50</v>
      </c>
      <c r="F306" t="s">
        <v>75</v>
      </c>
      <c r="G306" t="s">
        <v>24</v>
      </c>
      <c r="H306">
        <v>47086.8</v>
      </c>
      <c r="I306">
        <v>5</v>
      </c>
      <c r="J306">
        <v>0.05</v>
      </c>
      <c r="K306">
        <v>7808.71</v>
      </c>
      <c r="L306" t="s">
        <v>68</v>
      </c>
    </row>
    <row r="307" spans="1:12" x14ac:dyDescent="0.3">
      <c r="A307" t="s">
        <v>472</v>
      </c>
      <c r="B307" s="2">
        <v>45880.484969939869</v>
      </c>
      <c r="C307" t="s">
        <v>345</v>
      </c>
      <c r="D307" t="s">
        <v>114</v>
      </c>
      <c r="E307" t="s">
        <v>114</v>
      </c>
      <c r="F307" t="s">
        <v>106</v>
      </c>
      <c r="G307" t="s">
        <v>35</v>
      </c>
      <c r="H307">
        <v>6265.91</v>
      </c>
      <c r="I307">
        <v>4</v>
      </c>
      <c r="J307">
        <v>0.05</v>
      </c>
      <c r="K307">
        <v>1425.58</v>
      </c>
      <c r="L307" t="s">
        <v>25</v>
      </c>
    </row>
    <row r="308" spans="1:12" x14ac:dyDescent="0.3">
      <c r="A308" t="s">
        <v>473</v>
      </c>
      <c r="B308" s="2">
        <v>45881.214428857711</v>
      </c>
      <c r="C308" t="s">
        <v>170</v>
      </c>
      <c r="D308" t="s">
        <v>71</v>
      </c>
      <c r="E308" t="s">
        <v>55</v>
      </c>
      <c r="F308" t="s">
        <v>87</v>
      </c>
      <c r="G308" t="s">
        <v>17</v>
      </c>
      <c r="H308">
        <v>110255.67</v>
      </c>
      <c r="I308">
        <v>2</v>
      </c>
      <c r="J308">
        <v>0.1</v>
      </c>
      <c r="K308">
        <v>20230.73</v>
      </c>
      <c r="L308" t="s">
        <v>25</v>
      </c>
    </row>
    <row r="309" spans="1:12" x14ac:dyDescent="0.3">
      <c r="A309" t="s">
        <v>474</v>
      </c>
      <c r="B309" s="2">
        <v>45881.943887775553</v>
      </c>
      <c r="C309" t="s">
        <v>79</v>
      </c>
      <c r="D309" t="s">
        <v>38</v>
      </c>
      <c r="E309" t="s">
        <v>39</v>
      </c>
      <c r="F309" t="s">
        <v>40</v>
      </c>
      <c r="G309" t="s">
        <v>17</v>
      </c>
      <c r="H309">
        <v>4497.24</v>
      </c>
      <c r="I309">
        <v>2</v>
      </c>
      <c r="J309">
        <v>0</v>
      </c>
      <c r="K309">
        <v>1212.55</v>
      </c>
      <c r="L309" t="s">
        <v>31</v>
      </c>
    </row>
    <row r="310" spans="1:12" x14ac:dyDescent="0.3">
      <c r="A310" t="s">
        <v>475</v>
      </c>
      <c r="B310" s="2">
        <v>45882.67334669338</v>
      </c>
      <c r="C310" t="s">
        <v>269</v>
      </c>
      <c r="D310" t="s">
        <v>71</v>
      </c>
      <c r="E310" t="s">
        <v>55</v>
      </c>
      <c r="F310" t="s">
        <v>16</v>
      </c>
      <c r="G310" t="s">
        <v>17</v>
      </c>
      <c r="H310">
        <v>46883.43</v>
      </c>
      <c r="I310">
        <v>4</v>
      </c>
      <c r="J310">
        <v>0.05</v>
      </c>
      <c r="K310">
        <v>8323.3799999999992</v>
      </c>
      <c r="L310" t="s">
        <v>51</v>
      </c>
    </row>
    <row r="311" spans="1:12" x14ac:dyDescent="0.3">
      <c r="A311" t="s">
        <v>476</v>
      </c>
      <c r="B311" s="2">
        <v>45883.402805611207</v>
      </c>
      <c r="C311" t="s">
        <v>219</v>
      </c>
      <c r="D311" t="s">
        <v>21</v>
      </c>
      <c r="E311" t="s">
        <v>22</v>
      </c>
      <c r="F311" t="s">
        <v>75</v>
      </c>
      <c r="G311" t="s">
        <v>24</v>
      </c>
      <c r="H311">
        <v>8115.23</v>
      </c>
      <c r="I311">
        <v>1</v>
      </c>
      <c r="J311">
        <v>0.1</v>
      </c>
      <c r="K311">
        <v>764.34</v>
      </c>
      <c r="L311" t="s">
        <v>31</v>
      </c>
    </row>
    <row r="312" spans="1:12" x14ac:dyDescent="0.3">
      <c r="A312" t="s">
        <v>477</v>
      </c>
      <c r="B312" s="2">
        <v>45884.132264529049</v>
      </c>
      <c r="C312" t="s">
        <v>168</v>
      </c>
      <c r="D312" t="s">
        <v>61</v>
      </c>
      <c r="E312" t="s">
        <v>62</v>
      </c>
      <c r="F312" t="s">
        <v>56</v>
      </c>
      <c r="G312" t="s">
        <v>35</v>
      </c>
      <c r="H312">
        <v>2019.99</v>
      </c>
      <c r="I312">
        <v>2</v>
      </c>
      <c r="J312">
        <v>0</v>
      </c>
      <c r="K312">
        <v>351.33</v>
      </c>
      <c r="L312" t="s">
        <v>18</v>
      </c>
    </row>
    <row r="313" spans="1:12" x14ac:dyDescent="0.3">
      <c r="A313" t="s">
        <v>478</v>
      </c>
      <c r="B313" s="2">
        <v>45884.861723446877</v>
      </c>
      <c r="C313" t="s">
        <v>179</v>
      </c>
      <c r="D313" t="s">
        <v>49</v>
      </c>
      <c r="E313" t="s">
        <v>50</v>
      </c>
      <c r="F313" t="s">
        <v>40</v>
      </c>
      <c r="G313" t="s">
        <v>17</v>
      </c>
      <c r="H313">
        <v>11163.22</v>
      </c>
      <c r="I313">
        <v>5</v>
      </c>
      <c r="J313">
        <v>0.1</v>
      </c>
      <c r="K313">
        <v>2092</v>
      </c>
      <c r="L313" t="s">
        <v>18</v>
      </c>
    </row>
    <row r="314" spans="1:12" x14ac:dyDescent="0.3">
      <c r="A314" t="s">
        <v>479</v>
      </c>
      <c r="B314" s="2">
        <v>45885.591182364733</v>
      </c>
      <c r="C314" t="s">
        <v>124</v>
      </c>
      <c r="D314" t="s">
        <v>54</v>
      </c>
      <c r="E314" t="s">
        <v>55</v>
      </c>
      <c r="F314" t="s">
        <v>63</v>
      </c>
      <c r="G314" t="s">
        <v>17</v>
      </c>
      <c r="H314">
        <v>17796.009999999998</v>
      </c>
      <c r="I314">
        <v>1</v>
      </c>
      <c r="J314">
        <v>0.15</v>
      </c>
      <c r="K314">
        <v>3459.72</v>
      </c>
      <c r="L314" t="s">
        <v>31</v>
      </c>
    </row>
    <row r="315" spans="1:12" x14ac:dyDescent="0.3">
      <c r="A315" t="s">
        <v>480</v>
      </c>
      <c r="B315" s="2">
        <v>45886.32064128256</v>
      </c>
      <c r="C315" t="s">
        <v>481</v>
      </c>
      <c r="D315" t="s">
        <v>38</v>
      </c>
      <c r="E315" t="s">
        <v>39</v>
      </c>
      <c r="F315" t="s">
        <v>23</v>
      </c>
      <c r="G315" t="s">
        <v>24</v>
      </c>
      <c r="H315">
        <v>47703.8</v>
      </c>
      <c r="I315">
        <v>5</v>
      </c>
      <c r="J315">
        <v>0.15</v>
      </c>
      <c r="K315">
        <v>8888.17</v>
      </c>
      <c r="L315" t="s">
        <v>31</v>
      </c>
    </row>
    <row r="316" spans="1:12" x14ac:dyDescent="0.3">
      <c r="A316" t="s">
        <v>482</v>
      </c>
      <c r="B316" s="2">
        <v>45887.050100200388</v>
      </c>
      <c r="C316" t="s">
        <v>243</v>
      </c>
      <c r="D316" t="s">
        <v>14</v>
      </c>
      <c r="E316" t="s">
        <v>15</v>
      </c>
      <c r="F316" t="s">
        <v>34</v>
      </c>
      <c r="G316" t="s">
        <v>35</v>
      </c>
      <c r="H316">
        <v>4255.9799999999996</v>
      </c>
      <c r="I316">
        <v>3</v>
      </c>
      <c r="J316">
        <v>0.2</v>
      </c>
      <c r="K316">
        <v>481.1</v>
      </c>
      <c r="L316" t="s">
        <v>25</v>
      </c>
    </row>
    <row r="317" spans="1:12" x14ac:dyDescent="0.3">
      <c r="A317" t="s">
        <v>483</v>
      </c>
      <c r="B317" s="2">
        <v>45887.779559118229</v>
      </c>
      <c r="C317" t="s">
        <v>118</v>
      </c>
      <c r="D317" t="s">
        <v>49</v>
      </c>
      <c r="E317" t="s">
        <v>50</v>
      </c>
      <c r="F317" t="s">
        <v>23</v>
      </c>
      <c r="G317" t="s">
        <v>24</v>
      </c>
      <c r="H317">
        <v>57467.33</v>
      </c>
      <c r="I317">
        <v>5</v>
      </c>
      <c r="J317">
        <v>0.1</v>
      </c>
      <c r="K317">
        <v>8153.15</v>
      </c>
      <c r="L317" t="s">
        <v>25</v>
      </c>
    </row>
    <row r="318" spans="1:12" x14ac:dyDescent="0.3">
      <c r="A318" t="s">
        <v>484</v>
      </c>
      <c r="B318" s="2">
        <v>45888.509018036057</v>
      </c>
      <c r="C318" t="s">
        <v>311</v>
      </c>
      <c r="D318" t="s">
        <v>73</v>
      </c>
      <c r="E318" t="s">
        <v>74</v>
      </c>
      <c r="F318" t="s">
        <v>106</v>
      </c>
      <c r="G318" t="s">
        <v>35</v>
      </c>
      <c r="H318">
        <v>1873.66</v>
      </c>
      <c r="I318">
        <v>1</v>
      </c>
      <c r="J318">
        <v>0</v>
      </c>
      <c r="K318">
        <v>246.43</v>
      </c>
      <c r="L318" t="s">
        <v>25</v>
      </c>
    </row>
    <row r="319" spans="1:12" x14ac:dyDescent="0.3">
      <c r="A319" t="s">
        <v>485</v>
      </c>
      <c r="B319" s="2">
        <v>45889.238476953898</v>
      </c>
      <c r="C319" t="s">
        <v>456</v>
      </c>
      <c r="D319" t="s">
        <v>43</v>
      </c>
      <c r="E319" t="s">
        <v>44</v>
      </c>
      <c r="F319" t="s">
        <v>30</v>
      </c>
      <c r="G319" t="s">
        <v>17</v>
      </c>
      <c r="H319">
        <v>53528.97</v>
      </c>
      <c r="I319">
        <v>2</v>
      </c>
      <c r="J319">
        <v>0.15</v>
      </c>
      <c r="K319">
        <v>11376.67</v>
      </c>
      <c r="L319" t="s">
        <v>25</v>
      </c>
    </row>
    <row r="320" spans="1:12" x14ac:dyDescent="0.3">
      <c r="A320" t="s">
        <v>486</v>
      </c>
      <c r="B320" s="2">
        <v>45889.967935871733</v>
      </c>
      <c r="C320" t="s">
        <v>156</v>
      </c>
      <c r="D320" t="s">
        <v>49</v>
      </c>
      <c r="E320" t="s">
        <v>50</v>
      </c>
      <c r="F320" t="s">
        <v>16</v>
      </c>
      <c r="G320" t="s">
        <v>17</v>
      </c>
      <c r="H320">
        <v>12198.23</v>
      </c>
      <c r="I320">
        <v>1</v>
      </c>
      <c r="J320">
        <v>0</v>
      </c>
      <c r="K320">
        <v>1841.37</v>
      </c>
      <c r="L320" t="s">
        <v>68</v>
      </c>
    </row>
    <row r="321" spans="1:12" x14ac:dyDescent="0.3">
      <c r="A321" t="s">
        <v>487</v>
      </c>
      <c r="B321" s="2">
        <v>45890.697394789568</v>
      </c>
      <c r="C321" t="s">
        <v>162</v>
      </c>
      <c r="D321" t="s">
        <v>38</v>
      </c>
      <c r="E321" t="s">
        <v>39</v>
      </c>
      <c r="F321" t="s">
        <v>45</v>
      </c>
      <c r="G321" t="s">
        <v>46</v>
      </c>
      <c r="H321">
        <v>502.39</v>
      </c>
      <c r="I321">
        <v>2</v>
      </c>
      <c r="J321">
        <v>0.1</v>
      </c>
      <c r="K321">
        <v>90.65</v>
      </c>
      <c r="L321" t="s">
        <v>31</v>
      </c>
    </row>
    <row r="322" spans="1:12" x14ac:dyDescent="0.3">
      <c r="A322" t="s">
        <v>488</v>
      </c>
      <c r="B322" s="2">
        <v>45891.426853707409</v>
      </c>
      <c r="C322" t="s">
        <v>378</v>
      </c>
      <c r="D322" t="s">
        <v>38</v>
      </c>
      <c r="E322" t="s">
        <v>39</v>
      </c>
      <c r="F322" t="s">
        <v>75</v>
      </c>
      <c r="G322" t="s">
        <v>24</v>
      </c>
      <c r="I322">
        <v>4</v>
      </c>
      <c r="J322">
        <v>0.1</v>
      </c>
      <c r="K322">
        <v>6665.69</v>
      </c>
      <c r="L322" t="s">
        <v>51</v>
      </c>
    </row>
    <row r="323" spans="1:12" x14ac:dyDescent="0.3">
      <c r="A323" t="s">
        <v>489</v>
      </c>
      <c r="B323" s="2">
        <v>45892.156312625237</v>
      </c>
      <c r="C323" t="s">
        <v>421</v>
      </c>
      <c r="D323" t="s">
        <v>90</v>
      </c>
      <c r="E323" t="s">
        <v>44</v>
      </c>
      <c r="F323" t="s">
        <v>94</v>
      </c>
      <c r="G323" t="s">
        <v>46</v>
      </c>
      <c r="H323">
        <v>53495.19</v>
      </c>
      <c r="I323">
        <v>4</v>
      </c>
      <c r="J323">
        <v>0.05</v>
      </c>
      <c r="K323">
        <v>10455.1</v>
      </c>
      <c r="L323" t="s">
        <v>68</v>
      </c>
    </row>
    <row r="324" spans="1:12" x14ac:dyDescent="0.3">
      <c r="A324" t="s">
        <v>490</v>
      </c>
      <c r="B324" s="2">
        <v>45892.885771543079</v>
      </c>
      <c r="C324" t="s">
        <v>491</v>
      </c>
      <c r="D324" t="s">
        <v>90</v>
      </c>
      <c r="E324" t="s">
        <v>44</v>
      </c>
      <c r="F324" t="s">
        <v>94</v>
      </c>
      <c r="G324" t="s">
        <v>46</v>
      </c>
      <c r="H324">
        <v>12400.57</v>
      </c>
      <c r="I324">
        <v>1</v>
      </c>
      <c r="J324">
        <v>0.05</v>
      </c>
      <c r="K324">
        <v>3104.71</v>
      </c>
      <c r="L324" t="s">
        <v>68</v>
      </c>
    </row>
    <row r="325" spans="1:12" x14ac:dyDescent="0.3">
      <c r="A325" t="s">
        <v>492</v>
      </c>
      <c r="B325" s="2">
        <v>45893.615230460913</v>
      </c>
      <c r="C325" t="s">
        <v>493</v>
      </c>
      <c r="D325" t="s">
        <v>14</v>
      </c>
      <c r="E325" t="s">
        <v>15</v>
      </c>
      <c r="F325" t="s">
        <v>94</v>
      </c>
      <c r="G325" t="s">
        <v>46</v>
      </c>
      <c r="H325">
        <v>74825.289999999994</v>
      </c>
      <c r="I325">
        <v>5</v>
      </c>
      <c r="J325">
        <v>0.1</v>
      </c>
      <c r="K325">
        <v>9372.2999999999993</v>
      </c>
      <c r="L325" t="s">
        <v>25</v>
      </c>
    </row>
    <row r="326" spans="1:12" x14ac:dyDescent="0.3">
      <c r="A326" t="s">
        <v>494</v>
      </c>
      <c r="B326" s="2">
        <v>45894.344689378748</v>
      </c>
      <c r="C326" t="s">
        <v>103</v>
      </c>
      <c r="D326" t="s">
        <v>61</v>
      </c>
      <c r="E326" t="s">
        <v>62</v>
      </c>
      <c r="F326" t="s">
        <v>94</v>
      </c>
      <c r="G326" t="s">
        <v>46</v>
      </c>
      <c r="H326">
        <v>43804.2</v>
      </c>
      <c r="I326">
        <v>3</v>
      </c>
      <c r="J326">
        <v>0.05</v>
      </c>
      <c r="K326">
        <v>8770.25</v>
      </c>
      <c r="L326" t="s">
        <v>51</v>
      </c>
    </row>
    <row r="327" spans="1:12" x14ac:dyDescent="0.3">
      <c r="A327" t="s">
        <v>495</v>
      </c>
      <c r="B327" s="2">
        <v>45895.074148296582</v>
      </c>
      <c r="C327" t="s">
        <v>491</v>
      </c>
      <c r="D327" t="s">
        <v>49</v>
      </c>
      <c r="E327" t="s">
        <v>50</v>
      </c>
      <c r="F327" t="s">
        <v>63</v>
      </c>
      <c r="G327" t="s">
        <v>17</v>
      </c>
      <c r="H327">
        <v>114809.44</v>
      </c>
      <c r="I327">
        <v>5</v>
      </c>
      <c r="J327">
        <v>0</v>
      </c>
      <c r="K327">
        <v>26679.57</v>
      </c>
      <c r="L327" t="s">
        <v>68</v>
      </c>
    </row>
    <row r="328" spans="1:12" x14ac:dyDescent="0.3">
      <c r="A328" t="s">
        <v>496</v>
      </c>
      <c r="B328" s="2">
        <v>45895.803607214417</v>
      </c>
      <c r="C328" t="s">
        <v>497</v>
      </c>
      <c r="D328" t="s">
        <v>73</v>
      </c>
      <c r="E328" t="s">
        <v>74</v>
      </c>
      <c r="F328" t="s">
        <v>63</v>
      </c>
      <c r="G328" t="s">
        <v>17</v>
      </c>
      <c r="H328">
        <v>43516.75</v>
      </c>
      <c r="I328">
        <v>2</v>
      </c>
      <c r="J328">
        <v>0.05</v>
      </c>
      <c r="K328">
        <v>4105.47</v>
      </c>
      <c r="L328" t="s">
        <v>31</v>
      </c>
    </row>
    <row r="329" spans="1:12" x14ac:dyDescent="0.3">
      <c r="A329" t="s">
        <v>498</v>
      </c>
      <c r="B329" s="2">
        <v>45896.533066132259</v>
      </c>
      <c r="C329" t="s">
        <v>103</v>
      </c>
      <c r="D329" t="s">
        <v>28</v>
      </c>
      <c r="E329" t="s">
        <v>29</v>
      </c>
      <c r="F329" t="s">
        <v>106</v>
      </c>
      <c r="G329" t="s">
        <v>35</v>
      </c>
      <c r="H329">
        <v>3572.15</v>
      </c>
      <c r="I329">
        <v>2</v>
      </c>
      <c r="J329">
        <v>0.1</v>
      </c>
      <c r="K329">
        <v>685.63</v>
      </c>
      <c r="L329" t="s">
        <v>68</v>
      </c>
    </row>
    <row r="330" spans="1:12" x14ac:dyDescent="0.3">
      <c r="A330" t="s">
        <v>499</v>
      </c>
      <c r="B330" s="2">
        <v>45897.262525050093</v>
      </c>
      <c r="C330" t="s">
        <v>113</v>
      </c>
      <c r="D330" t="s">
        <v>43</v>
      </c>
      <c r="E330" t="s">
        <v>44</v>
      </c>
      <c r="F330" t="s">
        <v>106</v>
      </c>
      <c r="G330" t="s">
        <v>35</v>
      </c>
      <c r="H330">
        <v>5451.7</v>
      </c>
      <c r="I330">
        <v>3</v>
      </c>
      <c r="J330">
        <v>0</v>
      </c>
      <c r="K330">
        <v>544.41</v>
      </c>
      <c r="L330" t="s">
        <v>18</v>
      </c>
    </row>
    <row r="331" spans="1:12" x14ac:dyDescent="0.3">
      <c r="A331" t="s">
        <v>500</v>
      </c>
      <c r="B331" s="2">
        <v>45897.991983967928</v>
      </c>
      <c r="C331" t="s">
        <v>421</v>
      </c>
      <c r="D331" t="s">
        <v>43</v>
      </c>
      <c r="E331" t="s">
        <v>44</v>
      </c>
      <c r="F331" t="s">
        <v>56</v>
      </c>
      <c r="G331" t="s">
        <v>35</v>
      </c>
      <c r="H331">
        <v>2293.41</v>
      </c>
      <c r="I331">
        <v>3</v>
      </c>
      <c r="J331">
        <v>0.05</v>
      </c>
      <c r="K331">
        <v>243.12</v>
      </c>
      <c r="L331" t="s">
        <v>51</v>
      </c>
    </row>
    <row r="332" spans="1:12" x14ac:dyDescent="0.3">
      <c r="A332" t="s">
        <v>501</v>
      </c>
      <c r="B332" s="2">
        <v>45898.721442885762</v>
      </c>
      <c r="C332" t="s">
        <v>135</v>
      </c>
      <c r="D332" t="s">
        <v>61</v>
      </c>
      <c r="E332" t="s">
        <v>62</v>
      </c>
      <c r="F332" t="s">
        <v>106</v>
      </c>
      <c r="G332" t="s">
        <v>35</v>
      </c>
      <c r="H332">
        <v>5426.29</v>
      </c>
      <c r="I332">
        <v>3</v>
      </c>
      <c r="J332">
        <v>0.1</v>
      </c>
      <c r="K332">
        <v>1331.29</v>
      </c>
      <c r="L332" t="s">
        <v>31</v>
      </c>
    </row>
    <row r="333" spans="1:12" x14ac:dyDescent="0.3">
      <c r="A333" t="s">
        <v>502</v>
      </c>
      <c r="B333" s="2">
        <v>45899.450901803597</v>
      </c>
      <c r="C333" t="s">
        <v>210</v>
      </c>
      <c r="D333" t="s">
        <v>28</v>
      </c>
      <c r="E333" t="s">
        <v>29</v>
      </c>
      <c r="F333" t="s">
        <v>16</v>
      </c>
      <c r="G333" t="s">
        <v>17</v>
      </c>
      <c r="H333">
        <v>56463.34</v>
      </c>
      <c r="I333">
        <v>5</v>
      </c>
      <c r="J333">
        <v>0.1</v>
      </c>
      <c r="K333">
        <v>10634.36</v>
      </c>
      <c r="L333" t="s">
        <v>18</v>
      </c>
    </row>
    <row r="334" spans="1:12" x14ac:dyDescent="0.3">
      <c r="A334" t="s">
        <v>503</v>
      </c>
      <c r="B334" s="2">
        <v>45900.180360721439</v>
      </c>
      <c r="C334" t="s">
        <v>108</v>
      </c>
      <c r="D334" t="s">
        <v>14</v>
      </c>
      <c r="E334" t="s">
        <v>15</v>
      </c>
      <c r="F334" t="s">
        <v>40</v>
      </c>
      <c r="G334" t="s">
        <v>17</v>
      </c>
      <c r="H334">
        <v>6702.49</v>
      </c>
      <c r="I334">
        <v>3</v>
      </c>
      <c r="J334">
        <v>0.05</v>
      </c>
      <c r="K334">
        <v>797.09</v>
      </c>
      <c r="L334" t="s">
        <v>25</v>
      </c>
    </row>
    <row r="335" spans="1:12" x14ac:dyDescent="0.3">
      <c r="A335" t="s">
        <v>504</v>
      </c>
      <c r="B335" s="2">
        <v>45900.909819639273</v>
      </c>
      <c r="C335" t="s">
        <v>243</v>
      </c>
      <c r="D335" t="s">
        <v>114</v>
      </c>
      <c r="E335" t="s">
        <v>114</v>
      </c>
      <c r="F335" t="s">
        <v>63</v>
      </c>
      <c r="G335" t="s">
        <v>17</v>
      </c>
      <c r="H335">
        <v>63785.5</v>
      </c>
      <c r="I335">
        <v>3</v>
      </c>
      <c r="J335">
        <v>0.05</v>
      </c>
      <c r="K335">
        <v>12507.92</v>
      </c>
      <c r="L335" t="s">
        <v>68</v>
      </c>
    </row>
    <row r="336" spans="1:12" x14ac:dyDescent="0.3">
      <c r="A336" t="s">
        <v>505</v>
      </c>
      <c r="B336" s="2">
        <v>45901.639278557108</v>
      </c>
      <c r="C336" t="s">
        <v>170</v>
      </c>
      <c r="D336" t="s">
        <v>43</v>
      </c>
      <c r="E336" t="s">
        <v>44</v>
      </c>
      <c r="F336" t="s">
        <v>34</v>
      </c>
      <c r="G336" t="s">
        <v>35</v>
      </c>
      <c r="H336">
        <v>5590.27</v>
      </c>
      <c r="I336">
        <v>4</v>
      </c>
      <c r="J336">
        <v>0.2</v>
      </c>
      <c r="K336">
        <v>1431.46</v>
      </c>
      <c r="L336" t="s">
        <v>31</v>
      </c>
    </row>
    <row r="337" spans="1:12" x14ac:dyDescent="0.3">
      <c r="A337" t="s">
        <v>506</v>
      </c>
      <c r="B337" s="2">
        <v>45902.368737474942</v>
      </c>
      <c r="C337" t="s">
        <v>108</v>
      </c>
      <c r="D337" t="s">
        <v>49</v>
      </c>
      <c r="E337" t="s">
        <v>50</v>
      </c>
      <c r="F337" t="s">
        <v>45</v>
      </c>
      <c r="G337" t="s">
        <v>46</v>
      </c>
      <c r="H337">
        <v>648.66</v>
      </c>
      <c r="I337">
        <v>3</v>
      </c>
      <c r="J337">
        <v>0.05</v>
      </c>
      <c r="K337">
        <v>57.01</v>
      </c>
      <c r="L337" t="s">
        <v>25</v>
      </c>
    </row>
    <row r="338" spans="1:12" x14ac:dyDescent="0.3">
      <c r="A338" t="s">
        <v>507</v>
      </c>
      <c r="B338" s="2">
        <v>45903.098196392777</v>
      </c>
      <c r="C338" t="s">
        <v>261</v>
      </c>
      <c r="D338" t="s">
        <v>28</v>
      </c>
      <c r="E338" t="s">
        <v>29</v>
      </c>
      <c r="F338" t="s">
        <v>40</v>
      </c>
      <c r="G338" t="s">
        <v>17</v>
      </c>
      <c r="H338">
        <v>7579.14</v>
      </c>
      <c r="I338">
        <v>3</v>
      </c>
      <c r="J338">
        <v>0.1</v>
      </c>
      <c r="K338">
        <v>1414.85</v>
      </c>
      <c r="L338" t="s">
        <v>68</v>
      </c>
    </row>
    <row r="339" spans="1:12" x14ac:dyDescent="0.3">
      <c r="A339" t="s">
        <v>508</v>
      </c>
      <c r="B339" s="2">
        <v>45903.827655310612</v>
      </c>
      <c r="C339" t="s">
        <v>124</v>
      </c>
      <c r="D339" t="s">
        <v>28</v>
      </c>
      <c r="E339" t="s">
        <v>29</v>
      </c>
      <c r="F339" t="s">
        <v>34</v>
      </c>
      <c r="G339" t="s">
        <v>35</v>
      </c>
      <c r="H339">
        <v>5620.25</v>
      </c>
      <c r="I339">
        <v>4</v>
      </c>
      <c r="J339">
        <v>0.1</v>
      </c>
      <c r="K339">
        <v>974.31</v>
      </c>
      <c r="L339" t="s">
        <v>31</v>
      </c>
    </row>
    <row r="340" spans="1:12" x14ac:dyDescent="0.3">
      <c r="A340" t="s">
        <v>509</v>
      </c>
      <c r="B340" s="2">
        <v>45904.557114228453</v>
      </c>
      <c r="C340" t="s">
        <v>216</v>
      </c>
      <c r="D340" t="s">
        <v>71</v>
      </c>
      <c r="E340" t="s">
        <v>55</v>
      </c>
      <c r="F340" t="s">
        <v>40</v>
      </c>
      <c r="G340" t="s">
        <v>17</v>
      </c>
      <c r="H340">
        <v>5435.41</v>
      </c>
      <c r="I340">
        <v>2</v>
      </c>
      <c r="J340">
        <v>0.05</v>
      </c>
      <c r="K340">
        <v>1373.58</v>
      </c>
      <c r="L340" t="s">
        <v>25</v>
      </c>
    </row>
    <row r="341" spans="1:12" x14ac:dyDescent="0.3">
      <c r="A341" t="s">
        <v>510</v>
      </c>
      <c r="B341" s="2">
        <v>45905.286573146288</v>
      </c>
      <c r="C341" t="s">
        <v>290</v>
      </c>
      <c r="D341" t="s">
        <v>28</v>
      </c>
      <c r="E341" t="s">
        <v>29</v>
      </c>
      <c r="F341" t="s">
        <v>34</v>
      </c>
      <c r="G341" t="s">
        <v>35</v>
      </c>
      <c r="H341">
        <v>1742.17</v>
      </c>
      <c r="I341">
        <v>1</v>
      </c>
      <c r="J341">
        <v>0.05</v>
      </c>
      <c r="K341">
        <v>350.44</v>
      </c>
      <c r="L341" t="s">
        <v>51</v>
      </c>
    </row>
    <row r="342" spans="1:12" x14ac:dyDescent="0.3">
      <c r="A342" t="s">
        <v>511</v>
      </c>
      <c r="B342" s="2">
        <v>45906.016032064123</v>
      </c>
      <c r="C342" t="s">
        <v>77</v>
      </c>
      <c r="D342" t="s">
        <v>90</v>
      </c>
      <c r="E342" t="s">
        <v>44</v>
      </c>
      <c r="F342" t="s">
        <v>40</v>
      </c>
      <c r="G342" t="s">
        <v>17</v>
      </c>
      <c r="H342">
        <v>13587.63</v>
      </c>
      <c r="I342">
        <v>5</v>
      </c>
      <c r="J342">
        <v>0.05</v>
      </c>
      <c r="K342">
        <v>3335.81</v>
      </c>
      <c r="L342" t="s">
        <v>68</v>
      </c>
    </row>
    <row r="343" spans="1:12" x14ac:dyDescent="0.3">
      <c r="A343" t="s">
        <v>512</v>
      </c>
      <c r="B343" s="2">
        <v>45906.745490981957</v>
      </c>
      <c r="C343" t="s">
        <v>243</v>
      </c>
      <c r="D343" t="s">
        <v>71</v>
      </c>
      <c r="E343" t="s">
        <v>55</v>
      </c>
      <c r="F343" t="s">
        <v>94</v>
      </c>
      <c r="G343" t="s">
        <v>46</v>
      </c>
      <c r="H343">
        <v>45951.32</v>
      </c>
      <c r="I343">
        <v>4</v>
      </c>
      <c r="J343">
        <v>0.1</v>
      </c>
      <c r="K343">
        <v>6418.8</v>
      </c>
      <c r="L343" t="s">
        <v>18</v>
      </c>
    </row>
    <row r="344" spans="1:12" x14ac:dyDescent="0.3">
      <c r="A344" t="s">
        <v>513</v>
      </c>
      <c r="B344" s="2">
        <v>45907.474949899792</v>
      </c>
      <c r="C344" t="s">
        <v>86</v>
      </c>
      <c r="D344" t="s">
        <v>21</v>
      </c>
      <c r="E344" t="s">
        <v>22</v>
      </c>
      <c r="F344" t="s">
        <v>106</v>
      </c>
      <c r="G344" t="s">
        <v>35</v>
      </c>
      <c r="H344">
        <v>10273.14</v>
      </c>
      <c r="I344">
        <v>5</v>
      </c>
      <c r="J344">
        <v>0</v>
      </c>
      <c r="K344">
        <v>2330.0100000000002</v>
      </c>
      <c r="L344" t="s">
        <v>68</v>
      </c>
    </row>
    <row r="345" spans="1:12" x14ac:dyDescent="0.3">
      <c r="A345" t="s">
        <v>514</v>
      </c>
      <c r="B345" s="2">
        <v>45908.204408817634</v>
      </c>
      <c r="C345" t="s">
        <v>186</v>
      </c>
      <c r="D345" t="s">
        <v>28</v>
      </c>
      <c r="E345" t="s">
        <v>29</v>
      </c>
      <c r="F345" t="s">
        <v>34</v>
      </c>
      <c r="G345" t="s">
        <v>35</v>
      </c>
      <c r="H345">
        <v>5711.9</v>
      </c>
      <c r="I345">
        <v>3</v>
      </c>
      <c r="J345">
        <v>0</v>
      </c>
      <c r="K345">
        <v>798.98</v>
      </c>
      <c r="L345" t="s">
        <v>31</v>
      </c>
    </row>
    <row r="346" spans="1:12" x14ac:dyDescent="0.3">
      <c r="A346" t="s">
        <v>515</v>
      </c>
      <c r="B346" s="2">
        <v>45908.933867735461</v>
      </c>
      <c r="C346" t="s">
        <v>516</v>
      </c>
      <c r="D346" t="s">
        <v>49</v>
      </c>
      <c r="E346" t="s">
        <v>50</v>
      </c>
      <c r="F346" t="s">
        <v>40</v>
      </c>
      <c r="G346" t="s">
        <v>17</v>
      </c>
      <c r="H346">
        <v>2176.04</v>
      </c>
      <c r="I346">
        <v>1</v>
      </c>
      <c r="J346">
        <v>0.2</v>
      </c>
      <c r="K346">
        <v>261.41000000000003</v>
      </c>
      <c r="L346" t="s">
        <v>18</v>
      </c>
    </row>
    <row r="347" spans="1:12" x14ac:dyDescent="0.3">
      <c r="A347" t="s">
        <v>517</v>
      </c>
      <c r="B347" s="2">
        <v>45909.663326653303</v>
      </c>
      <c r="C347" t="s">
        <v>383</v>
      </c>
      <c r="D347" t="s">
        <v>90</v>
      </c>
      <c r="E347" t="s">
        <v>44</v>
      </c>
      <c r="F347" t="s">
        <v>16</v>
      </c>
      <c r="G347" t="s">
        <v>17</v>
      </c>
      <c r="H347">
        <v>14558.21</v>
      </c>
      <c r="I347">
        <v>1</v>
      </c>
      <c r="J347">
        <v>0</v>
      </c>
      <c r="K347">
        <v>1181.1500000000001</v>
      </c>
      <c r="L347" t="s">
        <v>25</v>
      </c>
    </row>
    <row r="348" spans="1:12" x14ac:dyDescent="0.3">
      <c r="A348" t="s">
        <v>518</v>
      </c>
      <c r="B348" s="2">
        <v>45910.392785571137</v>
      </c>
      <c r="C348" t="s">
        <v>427</v>
      </c>
      <c r="D348" t="s">
        <v>38</v>
      </c>
      <c r="E348" t="s">
        <v>39</v>
      </c>
      <c r="F348" t="s">
        <v>87</v>
      </c>
      <c r="G348" t="s">
        <v>17</v>
      </c>
      <c r="H348">
        <v>233202.26</v>
      </c>
      <c r="I348">
        <v>4</v>
      </c>
      <c r="J348">
        <v>0</v>
      </c>
      <c r="K348">
        <v>37270.39</v>
      </c>
      <c r="L348" t="s">
        <v>18</v>
      </c>
    </row>
    <row r="349" spans="1:12" x14ac:dyDescent="0.3">
      <c r="A349" t="s">
        <v>519</v>
      </c>
      <c r="B349" s="2">
        <v>45911.122244488972</v>
      </c>
      <c r="C349" t="s">
        <v>162</v>
      </c>
      <c r="D349" t="s">
        <v>71</v>
      </c>
      <c r="E349" t="s">
        <v>55</v>
      </c>
      <c r="F349" t="s">
        <v>23</v>
      </c>
      <c r="G349" t="s">
        <v>24</v>
      </c>
      <c r="H349">
        <v>33683.910000000003</v>
      </c>
      <c r="I349">
        <v>3</v>
      </c>
      <c r="J349">
        <v>0.1</v>
      </c>
      <c r="K349">
        <v>7395.34</v>
      </c>
      <c r="L349" t="s">
        <v>51</v>
      </c>
    </row>
    <row r="350" spans="1:12" x14ac:dyDescent="0.3">
      <c r="A350" t="s">
        <v>520</v>
      </c>
      <c r="B350" s="2">
        <v>45911.851703406814</v>
      </c>
      <c r="C350" t="s">
        <v>405</v>
      </c>
      <c r="D350" t="s">
        <v>49</v>
      </c>
      <c r="E350" t="s">
        <v>50</v>
      </c>
      <c r="F350" t="s">
        <v>87</v>
      </c>
      <c r="G350" t="s">
        <v>17</v>
      </c>
      <c r="H350">
        <v>107747.11</v>
      </c>
      <c r="I350">
        <v>2</v>
      </c>
      <c r="J350">
        <v>0.1</v>
      </c>
      <c r="K350">
        <v>9702.11</v>
      </c>
      <c r="L350" t="s">
        <v>68</v>
      </c>
    </row>
    <row r="351" spans="1:12" x14ac:dyDescent="0.3">
      <c r="A351" t="s">
        <v>521</v>
      </c>
      <c r="B351" s="2">
        <v>45912.581162324641</v>
      </c>
      <c r="C351" t="s">
        <v>122</v>
      </c>
      <c r="D351" t="s">
        <v>49</v>
      </c>
      <c r="E351" t="s">
        <v>50</v>
      </c>
      <c r="F351" t="s">
        <v>63</v>
      </c>
      <c r="G351" t="s">
        <v>17</v>
      </c>
      <c r="H351">
        <v>34942.870000000003</v>
      </c>
      <c r="I351">
        <v>2</v>
      </c>
      <c r="J351">
        <v>0.15</v>
      </c>
      <c r="K351">
        <v>9289.41</v>
      </c>
      <c r="L351" t="s">
        <v>68</v>
      </c>
    </row>
    <row r="352" spans="1:12" x14ac:dyDescent="0.3">
      <c r="A352" t="s">
        <v>522</v>
      </c>
      <c r="B352" s="2">
        <v>45913.310621242483</v>
      </c>
      <c r="C352" t="s">
        <v>175</v>
      </c>
      <c r="D352" t="s">
        <v>14</v>
      </c>
      <c r="E352" t="s">
        <v>15</v>
      </c>
      <c r="F352" t="s">
        <v>106</v>
      </c>
      <c r="G352" t="s">
        <v>35</v>
      </c>
      <c r="H352">
        <v>1826.45</v>
      </c>
      <c r="I352">
        <v>1</v>
      </c>
      <c r="J352">
        <v>0</v>
      </c>
      <c r="K352">
        <v>158.41999999999999</v>
      </c>
      <c r="L352" t="s">
        <v>18</v>
      </c>
    </row>
    <row r="353" spans="1:12" x14ac:dyDescent="0.3">
      <c r="A353" t="s">
        <v>523</v>
      </c>
      <c r="B353" s="2">
        <v>45914.04008016031</v>
      </c>
      <c r="C353" t="s">
        <v>53</v>
      </c>
      <c r="D353" t="s">
        <v>38</v>
      </c>
      <c r="E353" t="s">
        <v>39</v>
      </c>
      <c r="F353" t="s">
        <v>94</v>
      </c>
      <c r="G353" t="s">
        <v>46</v>
      </c>
      <c r="H353">
        <v>13590.7</v>
      </c>
      <c r="I353">
        <v>1</v>
      </c>
      <c r="J353">
        <v>0.15</v>
      </c>
      <c r="K353">
        <v>2321.15</v>
      </c>
      <c r="L353" t="s">
        <v>25</v>
      </c>
    </row>
    <row r="354" spans="1:12" x14ac:dyDescent="0.3">
      <c r="A354" t="s">
        <v>524</v>
      </c>
      <c r="B354" s="2">
        <v>45914.769539078137</v>
      </c>
      <c r="C354" t="s">
        <v>79</v>
      </c>
      <c r="D354" t="s">
        <v>54</v>
      </c>
      <c r="E354" t="s">
        <v>55</v>
      </c>
      <c r="F354" t="s">
        <v>30</v>
      </c>
      <c r="G354" t="s">
        <v>17</v>
      </c>
      <c r="H354">
        <v>54273.48</v>
      </c>
      <c r="I354">
        <v>2</v>
      </c>
      <c r="J354">
        <v>0.15</v>
      </c>
      <c r="K354">
        <v>13068.6</v>
      </c>
      <c r="L354" t="s">
        <v>68</v>
      </c>
    </row>
    <row r="355" spans="1:12" x14ac:dyDescent="0.3">
      <c r="A355" t="s">
        <v>525</v>
      </c>
      <c r="B355" s="2">
        <v>45915.498997995986</v>
      </c>
      <c r="C355" t="s">
        <v>424</v>
      </c>
      <c r="D355" t="s">
        <v>21</v>
      </c>
      <c r="E355" t="s">
        <v>22</v>
      </c>
      <c r="F355" t="s">
        <v>75</v>
      </c>
      <c r="G355" t="s">
        <v>24</v>
      </c>
      <c r="H355">
        <v>17467.810000000001</v>
      </c>
      <c r="I355">
        <v>2</v>
      </c>
      <c r="J355">
        <v>0</v>
      </c>
      <c r="K355">
        <v>4478.72</v>
      </c>
      <c r="L355" t="s">
        <v>18</v>
      </c>
    </row>
    <row r="356" spans="1:12" x14ac:dyDescent="0.3">
      <c r="A356" t="s">
        <v>526</v>
      </c>
      <c r="B356" s="2">
        <v>45916.228456913821</v>
      </c>
      <c r="C356" t="s">
        <v>172</v>
      </c>
      <c r="D356" t="s">
        <v>38</v>
      </c>
      <c r="E356" t="s">
        <v>39</v>
      </c>
      <c r="F356" t="s">
        <v>63</v>
      </c>
      <c r="G356" t="s">
        <v>17</v>
      </c>
      <c r="H356">
        <v>20796.07</v>
      </c>
      <c r="I356">
        <v>1</v>
      </c>
      <c r="J356">
        <v>0</v>
      </c>
      <c r="K356">
        <v>3789.58</v>
      </c>
      <c r="L356" t="s">
        <v>31</v>
      </c>
    </row>
    <row r="357" spans="1:12" x14ac:dyDescent="0.3">
      <c r="A357" t="s">
        <v>527</v>
      </c>
      <c r="B357" s="2">
        <v>45916.957915831663</v>
      </c>
      <c r="C357" t="s">
        <v>27</v>
      </c>
      <c r="D357" t="s">
        <v>14</v>
      </c>
      <c r="E357" t="s">
        <v>15</v>
      </c>
      <c r="F357" t="s">
        <v>23</v>
      </c>
      <c r="G357" t="s">
        <v>24</v>
      </c>
      <c r="H357">
        <v>22574.06</v>
      </c>
      <c r="I357">
        <v>2</v>
      </c>
      <c r="J357">
        <v>0.05</v>
      </c>
      <c r="K357">
        <v>6051.87</v>
      </c>
      <c r="L357" t="s">
        <v>31</v>
      </c>
    </row>
    <row r="358" spans="1:12" x14ac:dyDescent="0.3">
      <c r="A358" t="s">
        <v>528</v>
      </c>
      <c r="B358" s="2">
        <v>45917.68737474949</v>
      </c>
      <c r="C358" t="s">
        <v>493</v>
      </c>
      <c r="D358" t="s">
        <v>21</v>
      </c>
      <c r="E358" t="s">
        <v>22</v>
      </c>
      <c r="F358" t="s">
        <v>40</v>
      </c>
      <c r="G358" t="s">
        <v>17</v>
      </c>
      <c r="H358">
        <v>2619.1799999999998</v>
      </c>
      <c r="I358">
        <v>1</v>
      </c>
      <c r="J358">
        <v>0.05</v>
      </c>
      <c r="K358">
        <v>622.80999999999995</v>
      </c>
      <c r="L358" t="s">
        <v>31</v>
      </c>
    </row>
    <row r="359" spans="1:12" x14ac:dyDescent="0.3">
      <c r="A359" t="s">
        <v>529</v>
      </c>
      <c r="B359" s="2">
        <v>45918.416833667317</v>
      </c>
      <c r="C359" t="s">
        <v>335</v>
      </c>
      <c r="D359" t="s">
        <v>28</v>
      </c>
      <c r="E359" t="s">
        <v>29</v>
      </c>
      <c r="F359" t="s">
        <v>23</v>
      </c>
      <c r="G359" t="s">
        <v>24</v>
      </c>
      <c r="H359">
        <v>50522.02</v>
      </c>
      <c r="I359">
        <v>4</v>
      </c>
      <c r="J359">
        <v>0</v>
      </c>
      <c r="K359">
        <v>4469.09</v>
      </c>
      <c r="L359" t="s">
        <v>51</v>
      </c>
    </row>
    <row r="360" spans="1:12" x14ac:dyDescent="0.3">
      <c r="A360" t="s">
        <v>530</v>
      </c>
      <c r="B360" s="2">
        <v>45919.146292585159</v>
      </c>
      <c r="C360" t="s">
        <v>497</v>
      </c>
      <c r="D360" t="s">
        <v>14</v>
      </c>
      <c r="E360" t="s">
        <v>15</v>
      </c>
      <c r="F360" t="s">
        <v>106</v>
      </c>
      <c r="G360" t="s">
        <v>35</v>
      </c>
      <c r="H360">
        <v>10013.879999999999</v>
      </c>
      <c r="I360">
        <v>5</v>
      </c>
      <c r="J360">
        <v>0</v>
      </c>
      <c r="K360">
        <v>1358.76</v>
      </c>
      <c r="L360" t="s">
        <v>25</v>
      </c>
    </row>
    <row r="361" spans="1:12" x14ac:dyDescent="0.3">
      <c r="A361" t="s">
        <v>531</v>
      </c>
      <c r="B361" s="2">
        <v>45919.875751503001</v>
      </c>
      <c r="C361" t="s">
        <v>108</v>
      </c>
      <c r="D361" t="s">
        <v>38</v>
      </c>
      <c r="E361" t="s">
        <v>39</v>
      </c>
      <c r="F361" t="s">
        <v>94</v>
      </c>
      <c r="G361" t="s">
        <v>46</v>
      </c>
      <c r="H361">
        <v>67001.98</v>
      </c>
      <c r="I361">
        <v>5</v>
      </c>
      <c r="J361">
        <v>0.1</v>
      </c>
      <c r="K361">
        <v>18753.400000000001</v>
      </c>
      <c r="L361" t="s">
        <v>25</v>
      </c>
    </row>
    <row r="362" spans="1:12" x14ac:dyDescent="0.3">
      <c r="A362" t="s">
        <v>532</v>
      </c>
      <c r="B362" s="2">
        <v>45920.605210420843</v>
      </c>
      <c r="C362" t="s">
        <v>60</v>
      </c>
      <c r="D362" t="s">
        <v>38</v>
      </c>
      <c r="E362" t="s">
        <v>39</v>
      </c>
      <c r="F362" t="s">
        <v>40</v>
      </c>
      <c r="G362" t="s">
        <v>17</v>
      </c>
      <c r="H362">
        <v>4421.3900000000003</v>
      </c>
      <c r="I362">
        <v>2</v>
      </c>
      <c r="J362">
        <v>0.15</v>
      </c>
      <c r="K362">
        <v>356.26</v>
      </c>
      <c r="L362" t="s">
        <v>68</v>
      </c>
    </row>
    <row r="363" spans="1:12" x14ac:dyDescent="0.3">
      <c r="A363" t="s">
        <v>533</v>
      </c>
      <c r="B363" s="2">
        <v>45921.33466933867</v>
      </c>
      <c r="C363" t="s">
        <v>48</v>
      </c>
      <c r="D363" t="s">
        <v>43</v>
      </c>
      <c r="E363" t="s">
        <v>44</v>
      </c>
      <c r="F363" t="s">
        <v>106</v>
      </c>
      <c r="G363" t="s">
        <v>35</v>
      </c>
      <c r="H363">
        <v>7895.38</v>
      </c>
      <c r="I363">
        <v>5</v>
      </c>
      <c r="J363">
        <v>0.1</v>
      </c>
      <c r="K363">
        <v>1217.72</v>
      </c>
      <c r="L363" t="s">
        <v>31</v>
      </c>
    </row>
    <row r="364" spans="1:12" x14ac:dyDescent="0.3">
      <c r="A364" t="s">
        <v>534</v>
      </c>
      <c r="B364" s="2">
        <v>45922.064128256497</v>
      </c>
      <c r="C364" t="s">
        <v>282</v>
      </c>
      <c r="D364" t="s">
        <v>54</v>
      </c>
      <c r="E364" t="s">
        <v>55</v>
      </c>
      <c r="F364" t="s">
        <v>75</v>
      </c>
      <c r="G364" t="s">
        <v>24</v>
      </c>
      <c r="H364">
        <v>36798.410000000003</v>
      </c>
      <c r="I364">
        <v>5</v>
      </c>
      <c r="J364">
        <v>0.05</v>
      </c>
      <c r="K364">
        <v>9794.32</v>
      </c>
      <c r="L364" t="s">
        <v>18</v>
      </c>
    </row>
    <row r="365" spans="1:12" x14ac:dyDescent="0.3">
      <c r="A365" t="s">
        <v>535</v>
      </c>
      <c r="B365" s="2">
        <v>45922.793587174339</v>
      </c>
      <c r="C365" t="s">
        <v>135</v>
      </c>
      <c r="D365" t="s">
        <v>61</v>
      </c>
      <c r="E365" t="s">
        <v>62</v>
      </c>
      <c r="F365" t="s">
        <v>56</v>
      </c>
      <c r="G365" t="s">
        <v>35</v>
      </c>
      <c r="H365">
        <v>2804.73</v>
      </c>
      <c r="I365">
        <v>4</v>
      </c>
      <c r="J365">
        <v>0.1</v>
      </c>
      <c r="K365">
        <v>486.99</v>
      </c>
      <c r="L365" t="s">
        <v>68</v>
      </c>
    </row>
    <row r="366" spans="1:12" x14ac:dyDescent="0.3">
      <c r="A366" t="s">
        <v>536</v>
      </c>
      <c r="B366" s="2">
        <v>45923.523046092167</v>
      </c>
      <c r="C366" t="s">
        <v>152</v>
      </c>
      <c r="D366" t="s">
        <v>61</v>
      </c>
      <c r="E366" t="s">
        <v>62</v>
      </c>
      <c r="F366" t="s">
        <v>34</v>
      </c>
      <c r="G366" t="s">
        <v>35</v>
      </c>
      <c r="H366">
        <v>4819.7700000000004</v>
      </c>
      <c r="I366">
        <v>3</v>
      </c>
      <c r="J366">
        <v>0.15</v>
      </c>
      <c r="K366">
        <v>1139.4100000000001</v>
      </c>
      <c r="L366" t="s">
        <v>51</v>
      </c>
    </row>
    <row r="367" spans="1:12" x14ac:dyDescent="0.3">
      <c r="A367" t="s">
        <v>537</v>
      </c>
      <c r="B367" s="2">
        <v>45924.252505010008</v>
      </c>
      <c r="C367" t="s">
        <v>290</v>
      </c>
      <c r="D367" t="s">
        <v>114</v>
      </c>
      <c r="E367" t="s">
        <v>114</v>
      </c>
      <c r="F367" t="s">
        <v>56</v>
      </c>
      <c r="G367" t="s">
        <v>35</v>
      </c>
      <c r="H367">
        <v>1540.44</v>
      </c>
      <c r="I367">
        <v>2</v>
      </c>
      <c r="J367">
        <v>0</v>
      </c>
      <c r="K367">
        <v>250.67</v>
      </c>
      <c r="L367" t="s">
        <v>31</v>
      </c>
    </row>
    <row r="368" spans="1:12" x14ac:dyDescent="0.3">
      <c r="A368" t="s">
        <v>538</v>
      </c>
      <c r="B368" s="2">
        <v>45924.98196392785</v>
      </c>
      <c r="C368" t="s">
        <v>164</v>
      </c>
      <c r="D368" t="s">
        <v>61</v>
      </c>
      <c r="E368" t="s">
        <v>62</v>
      </c>
      <c r="F368" t="s">
        <v>56</v>
      </c>
      <c r="G368" t="s">
        <v>35</v>
      </c>
      <c r="H368">
        <v>2917.18</v>
      </c>
      <c r="I368">
        <v>4</v>
      </c>
      <c r="J368">
        <v>0.05</v>
      </c>
      <c r="K368">
        <v>795.51</v>
      </c>
      <c r="L368" t="s">
        <v>31</v>
      </c>
    </row>
    <row r="369" spans="1:12" x14ac:dyDescent="0.3">
      <c r="A369" t="s">
        <v>539</v>
      </c>
      <c r="B369" s="2">
        <v>45925.711422845678</v>
      </c>
      <c r="C369" t="s">
        <v>261</v>
      </c>
      <c r="D369" t="s">
        <v>54</v>
      </c>
      <c r="E369" t="s">
        <v>55</v>
      </c>
      <c r="F369" t="s">
        <v>75</v>
      </c>
      <c r="G369" t="s">
        <v>24</v>
      </c>
      <c r="H369">
        <v>33486.33</v>
      </c>
      <c r="I369">
        <v>4</v>
      </c>
      <c r="J369">
        <v>0</v>
      </c>
      <c r="K369">
        <v>3559.72</v>
      </c>
      <c r="L369" t="s">
        <v>68</v>
      </c>
    </row>
    <row r="370" spans="1:12" x14ac:dyDescent="0.3">
      <c r="A370" t="s">
        <v>540</v>
      </c>
      <c r="B370" s="2">
        <v>45926.440881763519</v>
      </c>
      <c r="C370" t="s">
        <v>182</v>
      </c>
      <c r="D370" t="s">
        <v>73</v>
      </c>
      <c r="E370" t="s">
        <v>74</v>
      </c>
      <c r="F370" t="s">
        <v>34</v>
      </c>
      <c r="G370" t="s">
        <v>35</v>
      </c>
      <c r="H370">
        <v>1515.16</v>
      </c>
      <c r="I370">
        <v>1</v>
      </c>
      <c r="J370">
        <v>0.05</v>
      </c>
      <c r="K370">
        <v>126.53</v>
      </c>
      <c r="L370" t="s">
        <v>31</v>
      </c>
    </row>
    <row r="371" spans="1:12" x14ac:dyDescent="0.3">
      <c r="A371" t="s">
        <v>541</v>
      </c>
      <c r="B371" s="2">
        <v>45927.170340681347</v>
      </c>
      <c r="C371" t="s">
        <v>432</v>
      </c>
      <c r="D371" t="s">
        <v>14</v>
      </c>
      <c r="E371" t="s">
        <v>15</v>
      </c>
      <c r="F371" t="s">
        <v>45</v>
      </c>
      <c r="G371" t="s">
        <v>46</v>
      </c>
      <c r="H371">
        <v>938.3</v>
      </c>
      <c r="I371">
        <v>4</v>
      </c>
      <c r="J371">
        <v>0.1</v>
      </c>
      <c r="K371">
        <v>181.67</v>
      </c>
      <c r="L371" t="s">
        <v>68</v>
      </c>
    </row>
    <row r="372" spans="1:12" x14ac:dyDescent="0.3">
      <c r="A372" t="s">
        <v>542</v>
      </c>
      <c r="B372" s="2">
        <v>45927.899799599189</v>
      </c>
      <c r="C372" t="s">
        <v>131</v>
      </c>
      <c r="D372" t="s">
        <v>14</v>
      </c>
      <c r="E372" t="s">
        <v>15</v>
      </c>
      <c r="F372" t="s">
        <v>16</v>
      </c>
      <c r="G372" t="s">
        <v>17</v>
      </c>
      <c r="H372">
        <v>30597.7</v>
      </c>
      <c r="I372">
        <v>3</v>
      </c>
      <c r="J372">
        <v>0.15</v>
      </c>
      <c r="K372">
        <v>7240.63</v>
      </c>
      <c r="L372" t="s">
        <v>68</v>
      </c>
    </row>
    <row r="373" spans="1:12" x14ac:dyDescent="0.3">
      <c r="A373" t="s">
        <v>543</v>
      </c>
      <c r="B373" s="2">
        <v>45928.629258517023</v>
      </c>
      <c r="C373" t="s">
        <v>247</v>
      </c>
      <c r="D373" t="s">
        <v>28</v>
      </c>
      <c r="E373" t="s">
        <v>29</v>
      </c>
      <c r="F373" t="s">
        <v>34</v>
      </c>
      <c r="G373" t="s">
        <v>35</v>
      </c>
      <c r="H373">
        <v>7256.54</v>
      </c>
      <c r="I373">
        <v>4</v>
      </c>
      <c r="J373">
        <v>0.1</v>
      </c>
      <c r="K373">
        <v>1940.95</v>
      </c>
      <c r="L373" t="s">
        <v>25</v>
      </c>
    </row>
    <row r="374" spans="1:12" x14ac:dyDescent="0.3">
      <c r="A374" t="s">
        <v>544</v>
      </c>
      <c r="B374" s="2">
        <v>45929.358717434858</v>
      </c>
      <c r="C374" t="s">
        <v>282</v>
      </c>
      <c r="D374" t="s">
        <v>73</v>
      </c>
      <c r="E374" t="s">
        <v>74</v>
      </c>
      <c r="F374" t="s">
        <v>16</v>
      </c>
      <c r="G374" t="s">
        <v>17</v>
      </c>
      <c r="H374">
        <v>32117.75</v>
      </c>
      <c r="I374">
        <v>2</v>
      </c>
      <c r="J374">
        <v>0</v>
      </c>
      <c r="K374">
        <v>5978.64</v>
      </c>
      <c r="L374" t="s">
        <v>18</v>
      </c>
    </row>
    <row r="375" spans="1:12" x14ac:dyDescent="0.3">
      <c r="A375" t="s">
        <v>545</v>
      </c>
      <c r="B375" s="2">
        <v>45930.0881763527</v>
      </c>
      <c r="C375" t="s">
        <v>236</v>
      </c>
      <c r="D375" t="s">
        <v>61</v>
      </c>
      <c r="E375" t="s">
        <v>62</v>
      </c>
      <c r="F375" t="s">
        <v>56</v>
      </c>
      <c r="G375" t="s">
        <v>35</v>
      </c>
      <c r="H375">
        <v>738.31</v>
      </c>
      <c r="I375">
        <v>1</v>
      </c>
      <c r="J375">
        <v>0.1</v>
      </c>
      <c r="K375">
        <v>150.58000000000001</v>
      </c>
      <c r="L375" t="s">
        <v>31</v>
      </c>
    </row>
    <row r="376" spans="1:12" x14ac:dyDescent="0.3">
      <c r="A376" t="s">
        <v>546</v>
      </c>
      <c r="B376" s="2">
        <v>45930.817635270527</v>
      </c>
      <c r="C376" t="s">
        <v>103</v>
      </c>
      <c r="D376" t="s">
        <v>73</v>
      </c>
      <c r="E376" t="s">
        <v>74</v>
      </c>
      <c r="F376" t="s">
        <v>34</v>
      </c>
      <c r="G376" t="s">
        <v>35</v>
      </c>
      <c r="H376">
        <v>6716.67</v>
      </c>
      <c r="I376">
        <v>5</v>
      </c>
      <c r="J376">
        <v>0.2</v>
      </c>
      <c r="K376">
        <v>1245.6300000000001</v>
      </c>
      <c r="L376" t="s">
        <v>31</v>
      </c>
    </row>
    <row r="377" spans="1:12" x14ac:dyDescent="0.3">
      <c r="A377" t="s">
        <v>547</v>
      </c>
      <c r="B377" s="2">
        <v>45931.547094188369</v>
      </c>
      <c r="C377" t="s">
        <v>516</v>
      </c>
      <c r="D377" t="s">
        <v>54</v>
      </c>
      <c r="E377" t="s">
        <v>55</v>
      </c>
      <c r="F377" t="s">
        <v>56</v>
      </c>
      <c r="G377" t="s">
        <v>35</v>
      </c>
      <c r="H377">
        <v>3641.92</v>
      </c>
      <c r="I377">
        <v>4</v>
      </c>
      <c r="J377">
        <v>0</v>
      </c>
      <c r="K377">
        <v>793.94</v>
      </c>
      <c r="L377" t="s">
        <v>51</v>
      </c>
    </row>
    <row r="378" spans="1:12" x14ac:dyDescent="0.3">
      <c r="A378" t="s">
        <v>548</v>
      </c>
      <c r="B378" s="2">
        <v>45932.276553106203</v>
      </c>
      <c r="C378" t="s">
        <v>269</v>
      </c>
      <c r="D378" t="s">
        <v>114</v>
      </c>
      <c r="E378" t="s">
        <v>114</v>
      </c>
      <c r="F378" t="s">
        <v>16</v>
      </c>
      <c r="G378" t="s">
        <v>17</v>
      </c>
      <c r="H378">
        <v>51468.22</v>
      </c>
      <c r="I378">
        <v>4</v>
      </c>
      <c r="J378">
        <v>0</v>
      </c>
      <c r="K378">
        <v>8395.93</v>
      </c>
      <c r="L378" t="s">
        <v>68</v>
      </c>
    </row>
    <row r="379" spans="1:12" x14ac:dyDescent="0.3">
      <c r="A379" t="s">
        <v>549</v>
      </c>
      <c r="B379" s="2">
        <v>45933.006012024038</v>
      </c>
      <c r="C379" t="s">
        <v>13</v>
      </c>
      <c r="D379" t="s">
        <v>73</v>
      </c>
      <c r="E379" t="s">
        <v>74</v>
      </c>
      <c r="F379" t="s">
        <v>106</v>
      </c>
      <c r="G379" t="s">
        <v>35</v>
      </c>
      <c r="H379">
        <v>7461.16</v>
      </c>
      <c r="I379">
        <v>5</v>
      </c>
      <c r="J379">
        <v>0.2</v>
      </c>
      <c r="K379">
        <v>1732.26</v>
      </c>
      <c r="L379" t="s">
        <v>68</v>
      </c>
    </row>
    <row r="380" spans="1:12" x14ac:dyDescent="0.3">
      <c r="A380" t="s">
        <v>550</v>
      </c>
      <c r="B380" s="2">
        <v>45933.735470941872</v>
      </c>
      <c r="C380" t="s">
        <v>86</v>
      </c>
      <c r="D380" t="s">
        <v>49</v>
      </c>
      <c r="E380" t="s">
        <v>50</v>
      </c>
      <c r="F380" t="s">
        <v>63</v>
      </c>
      <c r="G380" t="s">
        <v>17</v>
      </c>
      <c r="H380">
        <v>80876.91</v>
      </c>
      <c r="I380">
        <v>5</v>
      </c>
      <c r="J380">
        <v>0.15</v>
      </c>
      <c r="K380">
        <v>22341.32</v>
      </c>
      <c r="L380" t="s">
        <v>31</v>
      </c>
    </row>
    <row r="381" spans="1:12" x14ac:dyDescent="0.3">
      <c r="A381" t="s">
        <v>551</v>
      </c>
      <c r="B381" s="2">
        <v>45934.464929859707</v>
      </c>
      <c r="C381" t="s">
        <v>129</v>
      </c>
      <c r="D381" t="s">
        <v>54</v>
      </c>
      <c r="E381" t="s">
        <v>55</v>
      </c>
      <c r="F381" t="s">
        <v>40</v>
      </c>
      <c r="G381" t="s">
        <v>17</v>
      </c>
      <c r="H381">
        <v>10336.01</v>
      </c>
      <c r="I381">
        <v>4</v>
      </c>
      <c r="J381">
        <v>0.1</v>
      </c>
      <c r="K381">
        <v>2855.1</v>
      </c>
      <c r="L381" t="s">
        <v>31</v>
      </c>
    </row>
    <row r="382" spans="1:12" x14ac:dyDescent="0.3">
      <c r="A382" t="s">
        <v>552</v>
      </c>
      <c r="B382" s="2">
        <v>45935.194388777549</v>
      </c>
      <c r="C382" t="s">
        <v>265</v>
      </c>
      <c r="D382" t="s">
        <v>43</v>
      </c>
      <c r="E382" t="s">
        <v>44</v>
      </c>
      <c r="F382" t="s">
        <v>40</v>
      </c>
      <c r="G382" t="s">
        <v>17</v>
      </c>
      <c r="H382">
        <v>5721.77</v>
      </c>
      <c r="I382">
        <v>2</v>
      </c>
      <c r="J382">
        <v>0</v>
      </c>
      <c r="K382">
        <v>1364.75</v>
      </c>
      <c r="L382" t="s">
        <v>31</v>
      </c>
    </row>
    <row r="383" spans="1:12" x14ac:dyDescent="0.3">
      <c r="A383" t="s">
        <v>553</v>
      </c>
      <c r="B383" s="2">
        <v>45935.923847695383</v>
      </c>
      <c r="C383" t="s">
        <v>230</v>
      </c>
      <c r="D383" t="s">
        <v>21</v>
      </c>
      <c r="E383" t="s">
        <v>22</v>
      </c>
      <c r="F383" t="s">
        <v>34</v>
      </c>
      <c r="G383" t="s">
        <v>35</v>
      </c>
      <c r="H383">
        <v>8178.26</v>
      </c>
      <c r="I383">
        <v>5</v>
      </c>
      <c r="J383">
        <v>0.2</v>
      </c>
      <c r="K383">
        <v>1296.73</v>
      </c>
      <c r="L383" t="s">
        <v>25</v>
      </c>
    </row>
    <row r="384" spans="1:12" x14ac:dyDescent="0.3">
      <c r="A384" t="s">
        <v>554</v>
      </c>
      <c r="B384" s="2">
        <v>45936.653306613218</v>
      </c>
      <c r="C384" t="s">
        <v>437</v>
      </c>
      <c r="D384" t="s">
        <v>90</v>
      </c>
      <c r="E384" t="s">
        <v>44</v>
      </c>
      <c r="F384" t="s">
        <v>34</v>
      </c>
      <c r="G384" t="s">
        <v>35</v>
      </c>
      <c r="H384">
        <v>1456.07</v>
      </c>
      <c r="I384">
        <v>1</v>
      </c>
      <c r="J384">
        <v>0.1</v>
      </c>
      <c r="K384">
        <v>341.19</v>
      </c>
      <c r="L384" t="s">
        <v>68</v>
      </c>
    </row>
    <row r="385" spans="1:12" x14ac:dyDescent="0.3">
      <c r="A385" t="s">
        <v>555</v>
      </c>
      <c r="B385" s="2">
        <v>45937.382765531052</v>
      </c>
      <c r="C385" t="s">
        <v>224</v>
      </c>
      <c r="D385" t="s">
        <v>73</v>
      </c>
      <c r="E385" t="s">
        <v>74</v>
      </c>
      <c r="F385" t="s">
        <v>16</v>
      </c>
      <c r="G385" t="s">
        <v>17</v>
      </c>
      <c r="H385">
        <v>60675.03</v>
      </c>
      <c r="I385">
        <v>5</v>
      </c>
      <c r="J385">
        <v>0.1</v>
      </c>
      <c r="K385">
        <v>14619.69</v>
      </c>
      <c r="L385" t="s">
        <v>51</v>
      </c>
    </row>
    <row r="386" spans="1:12" x14ac:dyDescent="0.3">
      <c r="A386" t="s">
        <v>556</v>
      </c>
      <c r="B386" s="2">
        <v>45938.112224448887</v>
      </c>
      <c r="C386" t="s">
        <v>81</v>
      </c>
      <c r="D386" t="s">
        <v>61</v>
      </c>
      <c r="E386" t="s">
        <v>62</v>
      </c>
      <c r="F386" t="s">
        <v>23</v>
      </c>
      <c r="G386" t="s">
        <v>24</v>
      </c>
      <c r="H386">
        <v>20489.86</v>
      </c>
      <c r="I386">
        <v>2</v>
      </c>
      <c r="J386">
        <v>0.15</v>
      </c>
      <c r="K386">
        <v>2679.34</v>
      </c>
      <c r="L386" t="s">
        <v>68</v>
      </c>
    </row>
    <row r="387" spans="1:12" x14ac:dyDescent="0.3">
      <c r="A387" t="s">
        <v>557</v>
      </c>
      <c r="B387" s="2">
        <v>45938.841683366722</v>
      </c>
      <c r="C387" t="s">
        <v>156</v>
      </c>
      <c r="D387" t="s">
        <v>71</v>
      </c>
      <c r="E387" t="s">
        <v>55</v>
      </c>
      <c r="F387" t="s">
        <v>63</v>
      </c>
      <c r="G387" t="s">
        <v>17</v>
      </c>
      <c r="H387">
        <v>74811.69</v>
      </c>
      <c r="I387">
        <v>5</v>
      </c>
      <c r="J387">
        <v>0.2</v>
      </c>
      <c r="K387">
        <v>8286.25</v>
      </c>
      <c r="L387" t="s">
        <v>18</v>
      </c>
    </row>
    <row r="388" spans="1:12" x14ac:dyDescent="0.3">
      <c r="A388" t="s">
        <v>558</v>
      </c>
      <c r="B388" s="2">
        <v>45939.571142284563</v>
      </c>
      <c r="C388" t="s">
        <v>493</v>
      </c>
      <c r="D388" t="s">
        <v>90</v>
      </c>
      <c r="E388" t="s">
        <v>44</v>
      </c>
      <c r="F388" t="s">
        <v>94</v>
      </c>
      <c r="G388" t="s">
        <v>46</v>
      </c>
      <c r="H388">
        <v>67126.37</v>
      </c>
      <c r="I388">
        <v>5</v>
      </c>
      <c r="J388">
        <v>0.1</v>
      </c>
      <c r="K388">
        <v>6588.07</v>
      </c>
      <c r="L388" t="s">
        <v>31</v>
      </c>
    </row>
    <row r="389" spans="1:12" x14ac:dyDescent="0.3">
      <c r="A389" t="s">
        <v>559</v>
      </c>
      <c r="B389" s="2">
        <v>45940.300601202398</v>
      </c>
      <c r="C389" t="s">
        <v>354</v>
      </c>
      <c r="D389" t="s">
        <v>14</v>
      </c>
      <c r="E389" t="s">
        <v>15</v>
      </c>
      <c r="F389" t="s">
        <v>34</v>
      </c>
      <c r="G389" t="s">
        <v>35</v>
      </c>
      <c r="H389">
        <v>2928.84</v>
      </c>
      <c r="I389">
        <v>2</v>
      </c>
      <c r="J389">
        <v>0.15</v>
      </c>
      <c r="K389">
        <v>381.34</v>
      </c>
      <c r="L389" t="s">
        <v>18</v>
      </c>
    </row>
    <row r="390" spans="1:12" x14ac:dyDescent="0.3">
      <c r="A390" t="s">
        <v>560</v>
      </c>
      <c r="B390" s="2">
        <v>45941.030060120233</v>
      </c>
      <c r="C390" t="s">
        <v>77</v>
      </c>
      <c r="D390" t="s">
        <v>43</v>
      </c>
      <c r="E390" t="s">
        <v>44</v>
      </c>
      <c r="F390" t="s">
        <v>16</v>
      </c>
      <c r="G390" t="s">
        <v>17</v>
      </c>
      <c r="H390">
        <v>12909.68</v>
      </c>
      <c r="I390">
        <v>1</v>
      </c>
      <c r="J390">
        <v>0</v>
      </c>
      <c r="K390">
        <v>3403.61</v>
      </c>
      <c r="L390" t="s">
        <v>51</v>
      </c>
    </row>
    <row r="391" spans="1:12" x14ac:dyDescent="0.3">
      <c r="A391" t="s">
        <v>561</v>
      </c>
      <c r="B391" s="2">
        <v>45941.759519038067</v>
      </c>
      <c r="C391" t="s">
        <v>20</v>
      </c>
      <c r="D391" t="s">
        <v>21</v>
      </c>
      <c r="E391" t="s">
        <v>22</v>
      </c>
      <c r="F391" t="s">
        <v>34</v>
      </c>
      <c r="G391" t="s">
        <v>35</v>
      </c>
      <c r="H391">
        <v>1551.02</v>
      </c>
      <c r="I391">
        <v>1</v>
      </c>
      <c r="J391">
        <v>0</v>
      </c>
      <c r="K391">
        <v>178.44</v>
      </c>
      <c r="L391" t="s">
        <v>68</v>
      </c>
    </row>
    <row r="392" spans="1:12" x14ac:dyDescent="0.3">
      <c r="A392" t="s">
        <v>562</v>
      </c>
      <c r="B392" s="2">
        <v>45942.488977955902</v>
      </c>
      <c r="C392" t="s">
        <v>164</v>
      </c>
      <c r="D392" t="s">
        <v>38</v>
      </c>
      <c r="E392" t="s">
        <v>39</v>
      </c>
      <c r="F392" t="s">
        <v>16</v>
      </c>
      <c r="G392" t="s">
        <v>17</v>
      </c>
      <c r="H392">
        <v>67142.12</v>
      </c>
      <c r="I392">
        <v>5</v>
      </c>
      <c r="J392">
        <v>0.1</v>
      </c>
      <c r="K392">
        <v>11112.05</v>
      </c>
      <c r="L392" t="s">
        <v>18</v>
      </c>
    </row>
    <row r="393" spans="1:12" x14ac:dyDescent="0.3">
      <c r="A393" t="s">
        <v>563</v>
      </c>
      <c r="B393" s="2">
        <v>45943.218436873743</v>
      </c>
      <c r="C393" t="s">
        <v>401</v>
      </c>
      <c r="D393" t="s">
        <v>71</v>
      </c>
      <c r="E393" t="s">
        <v>55</v>
      </c>
      <c r="F393" t="s">
        <v>63</v>
      </c>
      <c r="G393" t="s">
        <v>17</v>
      </c>
      <c r="H393">
        <v>46722.68</v>
      </c>
      <c r="I393">
        <v>2</v>
      </c>
      <c r="J393">
        <v>0.05</v>
      </c>
      <c r="K393">
        <v>11029.97</v>
      </c>
      <c r="L393" t="s">
        <v>51</v>
      </c>
    </row>
    <row r="394" spans="1:12" x14ac:dyDescent="0.3">
      <c r="A394" t="s">
        <v>564</v>
      </c>
      <c r="B394" s="2">
        <v>45943.947895791571</v>
      </c>
      <c r="C394" t="s">
        <v>395</v>
      </c>
      <c r="D394" t="s">
        <v>54</v>
      </c>
      <c r="E394" t="s">
        <v>55</v>
      </c>
      <c r="F394" t="s">
        <v>23</v>
      </c>
      <c r="G394" t="s">
        <v>24</v>
      </c>
      <c r="H394">
        <v>10138.049999999999</v>
      </c>
      <c r="I394">
        <v>1</v>
      </c>
      <c r="J394">
        <v>0.1</v>
      </c>
      <c r="K394">
        <v>877.57</v>
      </c>
      <c r="L394" t="s">
        <v>51</v>
      </c>
    </row>
    <row r="395" spans="1:12" x14ac:dyDescent="0.3">
      <c r="A395" t="s">
        <v>565</v>
      </c>
      <c r="B395" s="2">
        <v>45944.677354709413</v>
      </c>
      <c r="C395" t="s">
        <v>282</v>
      </c>
      <c r="D395" t="s">
        <v>71</v>
      </c>
      <c r="E395" t="s">
        <v>55</v>
      </c>
      <c r="F395" t="s">
        <v>106</v>
      </c>
      <c r="G395" t="s">
        <v>35</v>
      </c>
      <c r="H395">
        <v>1488.42</v>
      </c>
      <c r="I395">
        <v>1</v>
      </c>
      <c r="J395">
        <v>0.15</v>
      </c>
      <c r="K395">
        <v>367.89</v>
      </c>
      <c r="L395" t="s">
        <v>68</v>
      </c>
    </row>
    <row r="396" spans="1:12" x14ac:dyDescent="0.3">
      <c r="A396" t="s">
        <v>566</v>
      </c>
      <c r="B396" s="2">
        <v>45945.406813627247</v>
      </c>
      <c r="C396" t="s">
        <v>224</v>
      </c>
      <c r="D396" t="s">
        <v>49</v>
      </c>
      <c r="E396" t="s">
        <v>50</v>
      </c>
      <c r="F396" t="s">
        <v>23</v>
      </c>
      <c r="G396" t="s">
        <v>24</v>
      </c>
      <c r="H396">
        <v>23704.62</v>
      </c>
      <c r="I396">
        <v>2</v>
      </c>
      <c r="J396">
        <v>0.1</v>
      </c>
      <c r="K396">
        <v>4092.81</v>
      </c>
      <c r="L396" t="s">
        <v>25</v>
      </c>
    </row>
    <row r="397" spans="1:12" x14ac:dyDescent="0.3">
      <c r="A397" t="s">
        <v>567</v>
      </c>
      <c r="B397" s="2">
        <v>45946.136272545082</v>
      </c>
      <c r="C397" t="s">
        <v>48</v>
      </c>
      <c r="D397" t="s">
        <v>14</v>
      </c>
      <c r="E397" t="s">
        <v>15</v>
      </c>
      <c r="F397" t="s">
        <v>106</v>
      </c>
      <c r="G397" t="s">
        <v>35</v>
      </c>
      <c r="H397">
        <v>9716.98</v>
      </c>
      <c r="I397">
        <v>5</v>
      </c>
      <c r="J397">
        <v>0</v>
      </c>
      <c r="K397">
        <v>1586.91</v>
      </c>
      <c r="L397" t="s">
        <v>68</v>
      </c>
    </row>
    <row r="398" spans="1:12" x14ac:dyDescent="0.3">
      <c r="A398" t="s">
        <v>568</v>
      </c>
      <c r="B398" s="2">
        <v>45946.865731462924</v>
      </c>
      <c r="C398" t="s">
        <v>205</v>
      </c>
      <c r="D398" t="s">
        <v>38</v>
      </c>
      <c r="E398" t="s">
        <v>39</v>
      </c>
      <c r="F398" t="s">
        <v>45</v>
      </c>
      <c r="G398" t="s">
        <v>46</v>
      </c>
      <c r="H398">
        <v>1176.48</v>
      </c>
      <c r="I398">
        <v>5</v>
      </c>
      <c r="J398">
        <v>0</v>
      </c>
      <c r="K398">
        <v>94.47</v>
      </c>
      <c r="L398" t="s">
        <v>18</v>
      </c>
    </row>
    <row r="399" spans="1:12" x14ac:dyDescent="0.3">
      <c r="A399" t="s">
        <v>569</v>
      </c>
      <c r="B399" s="2">
        <v>45947.595190380751</v>
      </c>
      <c r="C399" t="s">
        <v>182</v>
      </c>
      <c r="D399" t="s">
        <v>54</v>
      </c>
      <c r="E399" t="s">
        <v>55</v>
      </c>
      <c r="F399" t="s">
        <v>94</v>
      </c>
      <c r="G399" t="s">
        <v>46</v>
      </c>
      <c r="H399">
        <v>72746.14</v>
      </c>
      <c r="I399">
        <v>5</v>
      </c>
      <c r="J399">
        <v>0.1</v>
      </c>
      <c r="K399">
        <v>18856.39</v>
      </c>
      <c r="L399" t="s">
        <v>18</v>
      </c>
    </row>
    <row r="400" spans="1:12" x14ac:dyDescent="0.3">
      <c r="A400" t="s">
        <v>570</v>
      </c>
      <c r="B400" s="2">
        <v>45948.324649298593</v>
      </c>
      <c r="C400" t="s">
        <v>210</v>
      </c>
      <c r="D400" t="s">
        <v>71</v>
      </c>
      <c r="E400" t="s">
        <v>55</v>
      </c>
      <c r="F400" t="s">
        <v>94</v>
      </c>
      <c r="G400" t="s">
        <v>46</v>
      </c>
      <c r="H400">
        <v>49156.65</v>
      </c>
      <c r="I400">
        <v>3</v>
      </c>
      <c r="J400">
        <v>0.05</v>
      </c>
      <c r="K400">
        <v>6100.23</v>
      </c>
      <c r="L400" t="s">
        <v>68</v>
      </c>
    </row>
    <row r="401" spans="1:12" x14ac:dyDescent="0.3">
      <c r="A401" t="s">
        <v>571</v>
      </c>
      <c r="B401" s="2">
        <v>45949.05410821642</v>
      </c>
      <c r="C401" t="s">
        <v>417</v>
      </c>
      <c r="D401" t="s">
        <v>49</v>
      </c>
      <c r="E401" t="s">
        <v>50</v>
      </c>
      <c r="F401" t="s">
        <v>87</v>
      </c>
      <c r="G401" t="s">
        <v>17</v>
      </c>
      <c r="H401">
        <v>136651.31</v>
      </c>
      <c r="I401">
        <v>3</v>
      </c>
      <c r="J401">
        <v>0.15</v>
      </c>
      <c r="K401">
        <v>11497.06</v>
      </c>
      <c r="L401" t="s">
        <v>31</v>
      </c>
    </row>
    <row r="402" spans="1:12" x14ac:dyDescent="0.3">
      <c r="A402" t="s">
        <v>572</v>
      </c>
      <c r="B402" s="2">
        <v>45949.783567134262</v>
      </c>
      <c r="C402" t="s">
        <v>65</v>
      </c>
      <c r="D402" t="s">
        <v>21</v>
      </c>
      <c r="E402" t="s">
        <v>22</v>
      </c>
      <c r="F402" t="s">
        <v>45</v>
      </c>
      <c r="G402" t="s">
        <v>46</v>
      </c>
      <c r="H402">
        <v>191.7</v>
      </c>
      <c r="I402">
        <v>1</v>
      </c>
      <c r="J402">
        <v>0.2</v>
      </c>
      <c r="K402">
        <v>39.57</v>
      </c>
      <c r="L402" t="s">
        <v>68</v>
      </c>
    </row>
    <row r="403" spans="1:12" x14ac:dyDescent="0.3">
      <c r="A403" t="s">
        <v>573</v>
      </c>
      <c r="B403" s="2">
        <v>45950.513026052096</v>
      </c>
      <c r="C403" t="s">
        <v>424</v>
      </c>
      <c r="D403" t="s">
        <v>28</v>
      </c>
      <c r="E403" t="s">
        <v>29</v>
      </c>
      <c r="F403" t="s">
        <v>87</v>
      </c>
      <c r="G403" t="s">
        <v>17</v>
      </c>
      <c r="H403">
        <v>58440.08</v>
      </c>
      <c r="I403">
        <v>1</v>
      </c>
      <c r="J403">
        <v>0</v>
      </c>
      <c r="K403">
        <v>16040.87</v>
      </c>
      <c r="L403" t="s">
        <v>18</v>
      </c>
    </row>
    <row r="404" spans="1:12" x14ac:dyDescent="0.3">
      <c r="A404" t="s">
        <v>574</v>
      </c>
      <c r="B404" s="2">
        <v>45951.242484969931</v>
      </c>
      <c r="C404" t="s">
        <v>81</v>
      </c>
      <c r="D404" t="s">
        <v>28</v>
      </c>
      <c r="E404" t="s">
        <v>29</v>
      </c>
      <c r="F404" t="s">
        <v>87</v>
      </c>
      <c r="G404" t="s">
        <v>17</v>
      </c>
      <c r="H404">
        <v>99922.92</v>
      </c>
      <c r="I404">
        <v>2</v>
      </c>
      <c r="J404">
        <v>0.15</v>
      </c>
      <c r="K404">
        <v>13471.04</v>
      </c>
      <c r="L404" t="s">
        <v>68</v>
      </c>
    </row>
    <row r="405" spans="1:12" x14ac:dyDescent="0.3">
      <c r="A405" t="s">
        <v>575</v>
      </c>
      <c r="B405" s="2">
        <v>45951.971943887773</v>
      </c>
      <c r="C405" t="s">
        <v>42</v>
      </c>
      <c r="D405" t="s">
        <v>38</v>
      </c>
      <c r="E405" t="s">
        <v>39</v>
      </c>
      <c r="F405" t="s">
        <v>56</v>
      </c>
      <c r="G405" t="s">
        <v>35</v>
      </c>
      <c r="H405">
        <v>3499.29</v>
      </c>
      <c r="I405">
        <v>4</v>
      </c>
      <c r="J405">
        <v>0.15</v>
      </c>
      <c r="K405">
        <v>770.66</v>
      </c>
      <c r="L405" t="s">
        <v>31</v>
      </c>
    </row>
    <row r="406" spans="1:12" x14ac:dyDescent="0.3">
      <c r="A406" t="s">
        <v>576</v>
      </c>
      <c r="B406" s="2">
        <v>45952.7014028056</v>
      </c>
      <c r="C406" t="s">
        <v>356</v>
      </c>
      <c r="D406" t="s">
        <v>90</v>
      </c>
      <c r="E406" t="s">
        <v>44</v>
      </c>
      <c r="F406" t="s">
        <v>40</v>
      </c>
      <c r="G406" t="s">
        <v>17</v>
      </c>
      <c r="H406">
        <v>3820.37</v>
      </c>
      <c r="I406">
        <v>2</v>
      </c>
      <c r="J406">
        <v>0.15</v>
      </c>
      <c r="K406">
        <v>866.8</v>
      </c>
      <c r="L406" t="s">
        <v>18</v>
      </c>
    </row>
    <row r="407" spans="1:12" x14ac:dyDescent="0.3">
      <c r="A407" t="s">
        <v>577</v>
      </c>
      <c r="B407" s="2">
        <v>45953.430861723427</v>
      </c>
      <c r="C407" t="s">
        <v>126</v>
      </c>
      <c r="D407" t="s">
        <v>21</v>
      </c>
      <c r="E407" t="s">
        <v>22</v>
      </c>
      <c r="F407" t="s">
        <v>16</v>
      </c>
      <c r="G407" t="s">
        <v>17</v>
      </c>
      <c r="H407">
        <v>32259.48</v>
      </c>
      <c r="I407">
        <v>3</v>
      </c>
      <c r="J407">
        <v>0.1</v>
      </c>
      <c r="K407">
        <v>8840.76</v>
      </c>
      <c r="L407" t="s">
        <v>18</v>
      </c>
    </row>
    <row r="408" spans="1:12" x14ac:dyDescent="0.3">
      <c r="A408" t="s">
        <v>578</v>
      </c>
      <c r="B408" s="2">
        <v>45954.160320641276</v>
      </c>
      <c r="C408" t="s">
        <v>110</v>
      </c>
      <c r="D408" t="s">
        <v>71</v>
      </c>
      <c r="E408" t="s">
        <v>55</v>
      </c>
      <c r="F408" t="s">
        <v>56</v>
      </c>
      <c r="G408" t="s">
        <v>35</v>
      </c>
      <c r="H408">
        <v>818.33</v>
      </c>
      <c r="I408">
        <v>1</v>
      </c>
      <c r="J408">
        <v>0.1</v>
      </c>
      <c r="K408">
        <v>135.78</v>
      </c>
      <c r="L408" t="s">
        <v>68</v>
      </c>
    </row>
    <row r="409" spans="1:12" x14ac:dyDescent="0.3">
      <c r="A409" t="s">
        <v>579</v>
      </c>
      <c r="B409" s="2">
        <v>45954.889779559111</v>
      </c>
      <c r="C409" t="s">
        <v>77</v>
      </c>
      <c r="D409" t="s">
        <v>71</v>
      </c>
      <c r="E409" t="s">
        <v>55</v>
      </c>
      <c r="F409" t="s">
        <v>40</v>
      </c>
      <c r="G409" t="s">
        <v>17</v>
      </c>
      <c r="H409">
        <v>7803.15</v>
      </c>
      <c r="I409">
        <v>4</v>
      </c>
      <c r="J409">
        <v>0.15</v>
      </c>
      <c r="K409">
        <v>1886.47</v>
      </c>
      <c r="L409" t="s">
        <v>51</v>
      </c>
    </row>
    <row r="410" spans="1:12" x14ac:dyDescent="0.3">
      <c r="A410" t="s">
        <v>580</v>
      </c>
      <c r="B410" s="2">
        <v>45955.619238476953</v>
      </c>
      <c r="C410" t="s">
        <v>133</v>
      </c>
      <c r="D410" t="s">
        <v>49</v>
      </c>
      <c r="E410" t="s">
        <v>50</v>
      </c>
      <c r="F410" t="s">
        <v>56</v>
      </c>
      <c r="G410" t="s">
        <v>35</v>
      </c>
      <c r="H410">
        <v>2701.23</v>
      </c>
      <c r="I410">
        <v>3</v>
      </c>
      <c r="J410">
        <v>0</v>
      </c>
      <c r="K410">
        <v>385.12</v>
      </c>
      <c r="L410" t="s">
        <v>51</v>
      </c>
    </row>
    <row r="411" spans="1:12" x14ac:dyDescent="0.3">
      <c r="A411" t="s">
        <v>581</v>
      </c>
      <c r="B411" s="2">
        <v>45956.34869739478</v>
      </c>
      <c r="C411" t="s">
        <v>108</v>
      </c>
      <c r="D411" t="s">
        <v>14</v>
      </c>
      <c r="E411" t="s">
        <v>15</v>
      </c>
      <c r="F411" t="s">
        <v>40</v>
      </c>
      <c r="G411" t="s">
        <v>17</v>
      </c>
      <c r="H411">
        <v>5762.12</v>
      </c>
      <c r="I411">
        <v>3</v>
      </c>
      <c r="J411">
        <v>0.1</v>
      </c>
      <c r="K411">
        <v>520.71</v>
      </c>
      <c r="L411" t="s">
        <v>18</v>
      </c>
    </row>
    <row r="412" spans="1:12" x14ac:dyDescent="0.3">
      <c r="A412" t="s">
        <v>582</v>
      </c>
      <c r="B412" s="2">
        <v>45957.078156312607</v>
      </c>
      <c r="C412" t="s">
        <v>110</v>
      </c>
      <c r="D412" t="s">
        <v>114</v>
      </c>
      <c r="E412" t="s">
        <v>114</v>
      </c>
      <c r="F412" t="s">
        <v>34</v>
      </c>
      <c r="G412" t="s">
        <v>35</v>
      </c>
      <c r="H412">
        <v>7088.89</v>
      </c>
      <c r="I412">
        <v>4</v>
      </c>
      <c r="J412">
        <v>0.05</v>
      </c>
      <c r="K412">
        <v>1605.92</v>
      </c>
      <c r="L412" t="s">
        <v>18</v>
      </c>
    </row>
    <row r="413" spans="1:12" x14ac:dyDescent="0.3">
      <c r="A413" t="s">
        <v>583</v>
      </c>
      <c r="B413" s="2">
        <v>45957.807615230449</v>
      </c>
      <c r="C413" t="s">
        <v>126</v>
      </c>
      <c r="D413" t="s">
        <v>90</v>
      </c>
      <c r="E413" t="s">
        <v>44</v>
      </c>
      <c r="F413" t="s">
        <v>30</v>
      </c>
      <c r="G413" t="s">
        <v>17</v>
      </c>
      <c r="H413">
        <v>30085.54</v>
      </c>
      <c r="I413">
        <v>1</v>
      </c>
      <c r="J413">
        <v>0.05</v>
      </c>
      <c r="K413">
        <v>2747.33</v>
      </c>
      <c r="L413" t="s">
        <v>31</v>
      </c>
    </row>
    <row r="414" spans="1:12" x14ac:dyDescent="0.3">
      <c r="A414" t="s">
        <v>584</v>
      </c>
      <c r="B414" s="2">
        <v>45958.537074148277</v>
      </c>
      <c r="C414" t="s">
        <v>424</v>
      </c>
      <c r="D414" t="s">
        <v>54</v>
      </c>
      <c r="E414" t="s">
        <v>55</v>
      </c>
      <c r="F414" t="s">
        <v>56</v>
      </c>
      <c r="G414" t="s">
        <v>35</v>
      </c>
      <c r="H414">
        <v>2637.96</v>
      </c>
      <c r="I414">
        <v>3</v>
      </c>
      <c r="J414">
        <v>0.1</v>
      </c>
      <c r="K414">
        <v>733.54</v>
      </c>
      <c r="L414" t="s">
        <v>51</v>
      </c>
    </row>
    <row r="415" spans="1:12" x14ac:dyDescent="0.3">
      <c r="A415" t="s">
        <v>585</v>
      </c>
      <c r="B415" s="2">
        <v>45959.266533066133</v>
      </c>
      <c r="C415" t="s">
        <v>421</v>
      </c>
      <c r="D415" t="s">
        <v>38</v>
      </c>
      <c r="E415" t="s">
        <v>39</v>
      </c>
      <c r="F415" t="s">
        <v>94</v>
      </c>
      <c r="G415" t="s">
        <v>46</v>
      </c>
      <c r="H415">
        <v>23640.84</v>
      </c>
      <c r="I415">
        <v>2</v>
      </c>
      <c r="J415">
        <v>0.2</v>
      </c>
      <c r="K415">
        <v>2378.84</v>
      </c>
      <c r="L415" t="s">
        <v>25</v>
      </c>
    </row>
    <row r="416" spans="1:12" x14ac:dyDescent="0.3">
      <c r="A416" t="s">
        <v>586</v>
      </c>
      <c r="B416" s="2">
        <v>45959.99599198396</v>
      </c>
      <c r="C416" t="s">
        <v>42</v>
      </c>
      <c r="D416" t="s">
        <v>38</v>
      </c>
      <c r="E416" t="s">
        <v>39</v>
      </c>
      <c r="F416" t="s">
        <v>106</v>
      </c>
      <c r="G416" t="s">
        <v>35</v>
      </c>
      <c r="H416">
        <v>3629.87</v>
      </c>
      <c r="I416">
        <v>2</v>
      </c>
      <c r="J416">
        <v>0.05</v>
      </c>
      <c r="K416">
        <v>541.96</v>
      </c>
      <c r="L416" t="s">
        <v>18</v>
      </c>
    </row>
    <row r="417" spans="1:12" x14ac:dyDescent="0.3">
      <c r="A417" t="s">
        <v>587</v>
      </c>
      <c r="B417" s="2">
        <v>45960.725450901788</v>
      </c>
      <c r="C417" t="s">
        <v>124</v>
      </c>
      <c r="D417" t="s">
        <v>71</v>
      </c>
      <c r="E417" t="s">
        <v>55</v>
      </c>
      <c r="F417" t="s">
        <v>45</v>
      </c>
      <c r="G417" t="s">
        <v>46</v>
      </c>
      <c r="H417">
        <v>472.59</v>
      </c>
      <c r="I417">
        <v>2</v>
      </c>
      <c r="J417">
        <v>0.05</v>
      </c>
      <c r="K417">
        <v>64.98</v>
      </c>
      <c r="L417" t="s">
        <v>51</v>
      </c>
    </row>
    <row r="418" spans="1:12" x14ac:dyDescent="0.3">
      <c r="A418" t="s">
        <v>588</v>
      </c>
      <c r="B418" s="2">
        <v>45961.454909819629</v>
      </c>
      <c r="C418" t="s">
        <v>79</v>
      </c>
      <c r="D418" t="s">
        <v>21</v>
      </c>
      <c r="E418" t="s">
        <v>22</v>
      </c>
      <c r="F418" t="s">
        <v>75</v>
      </c>
      <c r="G418" t="s">
        <v>24</v>
      </c>
      <c r="H418">
        <v>18849.78</v>
      </c>
      <c r="I418">
        <v>3</v>
      </c>
      <c r="J418">
        <v>0.2</v>
      </c>
      <c r="K418">
        <v>2628.76</v>
      </c>
      <c r="L418" t="s">
        <v>25</v>
      </c>
    </row>
    <row r="419" spans="1:12" x14ac:dyDescent="0.3">
      <c r="A419" t="s">
        <v>589</v>
      </c>
      <c r="B419" s="2">
        <v>45962.184368737457</v>
      </c>
      <c r="C419" t="s">
        <v>162</v>
      </c>
      <c r="D419" t="s">
        <v>71</v>
      </c>
      <c r="E419" t="s">
        <v>55</v>
      </c>
      <c r="F419" t="s">
        <v>16</v>
      </c>
      <c r="G419" t="s">
        <v>17</v>
      </c>
      <c r="H419">
        <v>41677.599999999999</v>
      </c>
      <c r="I419">
        <v>3</v>
      </c>
      <c r="J419">
        <v>0.05</v>
      </c>
      <c r="K419">
        <v>3460.16</v>
      </c>
      <c r="L419" t="s">
        <v>18</v>
      </c>
    </row>
    <row r="420" spans="1:12" x14ac:dyDescent="0.3">
      <c r="A420" t="s">
        <v>590</v>
      </c>
      <c r="B420" s="2">
        <v>45962.913827655299</v>
      </c>
      <c r="C420" t="s">
        <v>265</v>
      </c>
      <c r="D420" t="s">
        <v>73</v>
      </c>
      <c r="E420" t="s">
        <v>74</v>
      </c>
      <c r="F420" t="s">
        <v>94</v>
      </c>
      <c r="G420" t="s">
        <v>46</v>
      </c>
      <c r="H420">
        <v>14196.82</v>
      </c>
      <c r="I420">
        <v>1</v>
      </c>
      <c r="J420">
        <v>0.1</v>
      </c>
      <c r="K420">
        <v>2628.56</v>
      </c>
      <c r="L420" t="s">
        <v>68</v>
      </c>
    </row>
    <row r="421" spans="1:12" x14ac:dyDescent="0.3">
      <c r="A421" t="s">
        <v>591</v>
      </c>
      <c r="B421" s="2">
        <v>45963.643286573133</v>
      </c>
      <c r="C421" t="s">
        <v>378</v>
      </c>
      <c r="D421" t="s">
        <v>54</v>
      </c>
      <c r="E421" t="s">
        <v>55</v>
      </c>
      <c r="F421" t="s">
        <v>87</v>
      </c>
      <c r="G421" t="s">
        <v>17</v>
      </c>
      <c r="H421">
        <v>145492.34</v>
      </c>
      <c r="I421">
        <v>3</v>
      </c>
      <c r="J421">
        <v>0</v>
      </c>
      <c r="K421">
        <v>39129.760000000002</v>
      </c>
      <c r="L421" t="s">
        <v>68</v>
      </c>
    </row>
    <row r="422" spans="1:12" x14ac:dyDescent="0.3">
      <c r="A422" t="s">
        <v>592</v>
      </c>
      <c r="B422" s="2">
        <v>45964.372745490968</v>
      </c>
      <c r="C422" t="s">
        <v>135</v>
      </c>
      <c r="D422" t="s">
        <v>21</v>
      </c>
      <c r="E422" t="s">
        <v>22</v>
      </c>
      <c r="F422" t="s">
        <v>23</v>
      </c>
      <c r="G422" t="s">
        <v>24</v>
      </c>
      <c r="H422">
        <v>45806.77</v>
      </c>
      <c r="I422">
        <v>4</v>
      </c>
      <c r="J422">
        <v>0.1</v>
      </c>
      <c r="K422">
        <v>7403.76</v>
      </c>
      <c r="L422" t="s">
        <v>31</v>
      </c>
    </row>
    <row r="423" spans="1:12" x14ac:dyDescent="0.3">
      <c r="A423" t="s">
        <v>593</v>
      </c>
      <c r="B423" s="2">
        <v>45965.102204408809</v>
      </c>
      <c r="C423" t="s">
        <v>124</v>
      </c>
      <c r="D423" t="s">
        <v>38</v>
      </c>
      <c r="E423" t="s">
        <v>39</v>
      </c>
      <c r="F423" t="s">
        <v>16</v>
      </c>
      <c r="G423" t="s">
        <v>17</v>
      </c>
      <c r="H423">
        <v>45377.24</v>
      </c>
      <c r="I423">
        <v>3</v>
      </c>
      <c r="J423">
        <v>0.05</v>
      </c>
      <c r="K423">
        <v>11251.76</v>
      </c>
      <c r="L423" t="s">
        <v>31</v>
      </c>
    </row>
    <row r="424" spans="1:12" x14ac:dyDescent="0.3">
      <c r="A424" t="s">
        <v>594</v>
      </c>
      <c r="B424" s="2">
        <v>45965.831663326637</v>
      </c>
      <c r="C424" t="s">
        <v>395</v>
      </c>
      <c r="D424" t="s">
        <v>73</v>
      </c>
      <c r="E424" t="s">
        <v>74</v>
      </c>
      <c r="F424" t="s">
        <v>30</v>
      </c>
      <c r="G424" t="s">
        <v>17</v>
      </c>
      <c r="H424">
        <v>88206.74</v>
      </c>
      <c r="I424">
        <v>3</v>
      </c>
      <c r="J424">
        <v>0</v>
      </c>
      <c r="K424">
        <v>20259.05</v>
      </c>
      <c r="L424" t="s">
        <v>68</v>
      </c>
    </row>
    <row r="425" spans="1:12" x14ac:dyDescent="0.3">
      <c r="A425" t="s">
        <v>595</v>
      </c>
      <c r="B425" s="2">
        <v>45966.561122244479</v>
      </c>
      <c r="C425" t="s">
        <v>345</v>
      </c>
      <c r="D425" t="s">
        <v>21</v>
      </c>
      <c r="E425" t="s">
        <v>22</v>
      </c>
      <c r="F425" t="s">
        <v>94</v>
      </c>
      <c r="G425" t="s">
        <v>46</v>
      </c>
      <c r="H425">
        <v>34535.01</v>
      </c>
      <c r="I425">
        <v>3</v>
      </c>
      <c r="J425">
        <v>0.1</v>
      </c>
      <c r="K425">
        <v>6998.81</v>
      </c>
      <c r="L425" t="s">
        <v>51</v>
      </c>
    </row>
    <row r="426" spans="1:12" x14ac:dyDescent="0.3">
      <c r="A426" t="s">
        <v>596</v>
      </c>
      <c r="B426" s="2">
        <v>45967.290581162313</v>
      </c>
      <c r="C426" t="s">
        <v>103</v>
      </c>
      <c r="D426" t="s">
        <v>43</v>
      </c>
      <c r="E426" t="s">
        <v>44</v>
      </c>
      <c r="F426" t="s">
        <v>16</v>
      </c>
      <c r="G426" t="s">
        <v>17</v>
      </c>
      <c r="H426">
        <v>61419.22</v>
      </c>
      <c r="I426">
        <v>5</v>
      </c>
      <c r="J426">
        <v>0</v>
      </c>
      <c r="K426">
        <v>15692.24</v>
      </c>
      <c r="L426" t="s">
        <v>31</v>
      </c>
    </row>
    <row r="427" spans="1:12" x14ac:dyDescent="0.3">
      <c r="A427" t="s">
        <v>597</v>
      </c>
      <c r="B427" s="2">
        <v>45968.020040080148</v>
      </c>
      <c r="C427" t="s">
        <v>516</v>
      </c>
      <c r="D427" t="s">
        <v>114</v>
      </c>
      <c r="E427" t="s">
        <v>114</v>
      </c>
      <c r="F427" t="s">
        <v>34</v>
      </c>
      <c r="G427" t="s">
        <v>35</v>
      </c>
      <c r="H427">
        <v>2971.15</v>
      </c>
      <c r="I427">
        <v>2</v>
      </c>
      <c r="J427">
        <v>0.05</v>
      </c>
      <c r="K427">
        <v>673.1</v>
      </c>
      <c r="L427" t="s">
        <v>18</v>
      </c>
    </row>
    <row r="428" spans="1:12" x14ac:dyDescent="0.3">
      <c r="A428" t="s">
        <v>598</v>
      </c>
      <c r="B428" s="2">
        <v>45968.74949899799</v>
      </c>
      <c r="C428" t="s">
        <v>243</v>
      </c>
      <c r="D428" t="s">
        <v>43</v>
      </c>
      <c r="E428" t="s">
        <v>44</v>
      </c>
      <c r="F428" t="s">
        <v>75</v>
      </c>
      <c r="G428" t="s">
        <v>24</v>
      </c>
      <c r="H428">
        <v>19074.87</v>
      </c>
      <c r="I428">
        <v>2</v>
      </c>
      <c r="J428">
        <v>0.05</v>
      </c>
      <c r="K428">
        <v>3408.68</v>
      </c>
      <c r="L428" t="s">
        <v>51</v>
      </c>
    </row>
    <row r="429" spans="1:12" x14ac:dyDescent="0.3">
      <c r="A429" t="s">
        <v>599</v>
      </c>
      <c r="B429" s="2">
        <v>45969.478957915817</v>
      </c>
      <c r="C429" t="s">
        <v>470</v>
      </c>
      <c r="D429" t="s">
        <v>28</v>
      </c>
      <c r="E429" t="s">
        <v>29</v>
      </c>
      <c r="F429" t="s">
        <v>87</v>
      </c>
      <c r="G429" t="s">
        <v>17</v>
      </c>
      <c r="H429">
        <v>166061.73000000001</v>
      </c>
      <c r="I429">
        <v>3</v>
      </c>
      <c r="J429">
        <v>0</v>
      </c>
      <c r="K429">
        <v>25610.47</v>
      </c>
      <c r="L429" t="s">
        <v>18</v>
      </c>
    </row>
    <row r="430" spans="1:12" x14ac:dyDescent="0.3">
      <c r="A430" t="s">
        <v>600</v>
      </c>
      <c r="B430" s="2">
        <v>45970.208416833659</v>
      </c>
      <c r="C430" t="s">
        <v>20</v>
      </c>
      <c r="D430" t="s">
        <v>38</v>
      </c>
      <c r="E430" t="s">
        <v>39</v>
      </c>
      <c r="F430" t="s">
        <v>75</v>
      </c>
      <c r="G430" t="s">
        <v>24</v>
      </c>
      <c r="H430">
        <v>7988.82</v>
      </c>
      <c r="I430">
        <v>1</v>
      </c>
      <c r="J430">
        <v>0.2</v>
      </c>
      <c r="K430">
        <v>2012.9</v>
      </c>
      <c r="L430" t="s">
        <v>18</v>
      </c>
    </row>
    <row r="431" spans="1:12" x14ac:dyDescent="0.3">
      <c r="A431" t="s">
        <v>601</v>
      </c>
      <c r="B431" s="2">
        <v>45970.937875751493</v>
      </c>
      <c r="C431" t="s">
        <v>232</v>
      </c>
      <c r="D431" t="s">
        <v>114</v>
      </c>
      <c r="E431" t="s">
        <v>114</v>
      </c>
      <c r="F431" t="s">
        <v>30</v>
      </c>
      <c r="G431" t="s">
        <v>17</v>
      </c>
      <c r="H431">
        <v>150135.78</v>
      </c>
      <c r="I431">
        <v>5</v>
      </c>
      <c r="J431">
        <v>0.1</v>
      </c>
      <c r="K431">
        <v>37042.79</v>
      </c>
      <c r="L431" t="s">
        <v>51</v>
      </c>
    </row>
    <row r="432" spans="1:12" x14ac:dyDescent="0.3">
      <c r="A432" t="s">
        <v>602</v>
      </c>
      <c r="B432" s="2">
        <v>45971.667334669328</v>
      </c>
      <c r="C432" t="s">
        <v>116</v>
      </c>
      <c r="D432" t="s">
        <v>61</v>
      </c>
      <c r="E432" t="s">
        <v>62</v>
      </c>
      <c r="F432" t="s">
        <v>34</v>
      </c>
      <c r="G432" t="s">
        <v>35</v>
      </c>
      <c r="H432">
        <v>9278.43</v>
      </c>
      <c r="I432">
        <v>5</v>
      </c>
      <c r="J432">
        <v>0.05</v>
      </c>
      <c r="K432">
        <v>1670.27</v>
      </c>
      <c r="L432" t="s">
        <v>31</v>
      </c>
    </row>
    <row r="433" spans="1:12" x14ac:dyDescent="0.3">
      <c r="A433" t="s">
        <v>603</v>
      </c>
      <c r="B433" s="2">
        <v>45972.396793587162</v>
      </c>
      <c r="C433" t="s">
        <v>67</v>
      </c>
      <c r="D433" t="s">
        <v>54</v>
      </c>
      <c r="E433" t="s">
        <v>55</v>
      </c>
      <c r="F433" t="s">
        <v>56</v>
      </c>
      <c r="G433" t="s">
        <v>35</v>
      </c>
      <c r="H433">
        <v>4458.8599999999997</v>
      </c>
      <c r="I433">
        <v>5</v>
      </c>
      <c r="J433">
        <v>0</v>
      </c>
      <c r="K433">
        <v>544.01</v>
      </c>
      <c r="L433" t="s">
        <v>18</v>
      </c>
    </row>
    <row r="434" spans="1:12" x14ac:dyDescent="0.3">
      <c r="A434" t="s">
        <v>604</v>
      </c>
      <c r="B434" s="2">
        <v>45973.126252504997</v>
      </c>
      <c r="C434" t="s">
        <v>413</v>
      </c>
      <c r="D434" t="s">
        <v>28</v>
      </c>
      <c r="E434" t="s">
        <v>29</v>
      </c>
      <c r="F434" t="s">
        <v>30</v>
      </c>
      <c r="G434" t="s">
        <v>17</v>
      </c>
      <c r="H434">
        <v>27842.13</v>
      </c>
      <c r="I434">
        <v>1</v>
      </c>
      <c r="J434">
        <v>0</v>
      </c>
      <c r="K434">
        <v>3120.89</v>
      </c>
      <c r="L434" t="s">
        <v>51</v>
      </c>
    </row>
    <row r="435" spans="1:12" x14ac:dyDescent="0.3">
      <c r="A435" t="s">
        <v>605</v>
      </c>
      <c r="B435" s="2">
        <v>45973.855711422839</v>
      </c>
      <c r="C435" t="s">
        <v>148</v>
      </c>
      <c r="D435" t="s">
        <v>61</v>
      </c>
      <c r="E435" t="s">
        <v>62</v>
      </c>
      <c r="F435" t="s">
        <v>106</v>
      </c>
      <c r="G435" t="s">
        <v>35</v>
      </c>
      <c r="H435">
        <v>3410.4</v>
      </c>
      <c r="I435">
        <v>2</v>
      </c>
      <c r="J435">
        <v>0.15</v>
      </c>
      <c r="K435">
        <v>740.15</v>
      </c>
      <c r="L435" t="s">
        <v>68</v>
      </c>
    </row>
    <row r="436" spans="1:12" x14ac:dyDescent="0.3">
      <c r="A436" t="s">
        <v>606</v>
      </c>
      <c r="B436" s="2">
        <v>45974.585170340673</v>
      </c>
      <c r="C436" t="s">
        <v>391</v>
      </c>
      <c r="D436" t="s">
        <v>90</v>
      </c>
      <c r="E436" t="s">
        <v>44</v>
      </c>
      <c r="F436" t="s">
        <v>16</v>
      </c>
      <c r="G436" t="s">
        <v>17</v>
      </c>
      <c r="H436">
        <v>46619.35</v>
      </c>
      <c r="I436">
        <v>4</v>
      </c>
      <c r="J436">
        <v>0.1</v>
      </c>
      <c r="K436">
        <v>8722.98</v>
      </c>
      <c r="L436" t="s">
        <v>25</v>
      </c>
    </row>
    <row r="437" spans="1:12" x14ac:dyDescent="0.3">
      <c r="A437" t="s">
        <v>607</v>
      </c>
      <c r="B437" s="2">
        <v>45975.314629258508</v>
      </c>
      <c r="C437" t="s">
        <v>207</v>
      </c>
      <c r="D437" t="s">
        <v>49</v>
      </c>
      <c r="E437" t="s">
        <v>50</v>
      </c>
      <c r="F437" t="s">
        <v>94</v>
      </c>
      <c r="G437" t="s">
        <v>46</v>
      </c>
      <c r="H437">
        <v>56540.33</v>
      </c>
      <c r="I437">
        <v>5</v>
      </c>
      <c r="J437">
        <v>0.2</v>
      </c>
      <c r="K437">
        <v>15297.72</v>
      </c>
      <c r="L437" t="s">
        <v>31</v>
      </c>
    </row>
    <row r="438" spans="1:12" x14ac:dyDescent="0.3">
      <c r="A438" t="s">
        <v>608</v>
      </c>
      <c r="B438" s="2">
        <v>45976.044088176342</v>
      </c>
      <c r="C438" t="s">
        <v>33</v>
      </c>
      <c r="D438" t="s">
        <v>73</v>
      </c>
      <c r="E438" t="s">
        <v>74</v>
      </c>
      <c r="F438" t="s">
        <v>45</v>
      </c>
      <c r="G438" t="s">
        <v>46</v>
      </c>
      <c r="H438">
        <v>189.12</v>
      </c>
      <c r="I438">
        <v>1</v>
      </c>
      <c r="J438">
        <v>0.2</v>
      </c>
      <c r="K438">
        <v>18.07</v>
      </c>
      <c r="L438" t="s">
        <v>31</v>
      </c>
    </row>
    <row r="439" spans="1:12" x14ac:dyDescent="0.3">
      <c r="A439" t="s">
        <v>609</v>
      </c>
      <c r="B439" s="2">
        <v>45976.773547094177</v>
      </c>
      <c r="C439" t="s">
        <v>470</v>
      </c>
      <c r="D439" t="s">
        <v>28</v>
      </c>
      <c r="E439" t="s">
        <v>29</v>
      </c>
      <c r="F439" t="s">
        <v>106</v>
      </c>
      <c r="G439" t="s">
        <v>35</v>
      </c>
      <c r="H439">
        <v>3814.37</v>
      </c>
      <c r="I439">
        <v>2</v>
      </c>
      <c r="J439">
        <v>0.05</v>
      </c>
      <c r="K439">
        <v>657.48</v>
      </c>
      <c r="L439" t="s">
        <v>31</v>
      </c>
    </row>
    <row r="440" spans="1:12" x14ac:dyDescent="0.3">
      <c r="A440" t="s">
        <v>610</v>
      </c>
      <c r="B440" s="2">
        <v>45977.503006012012</v>
      </c>
      <c r="C440" t="s">
        <v>67</v>
      </c>
      <c r="D440" t="s">
        <v>114</v>
      </c>
      <c r="E440" t="s">
        <v>114</v>
      </c>
      <c r="F440" t="s">
        <v>75</v>
      </c>
      <c r="G440" t="s">
        <v>24</v>
      </c>
      <c r="H440">
        <v>45596.24</v>
      </c>
      <c r="I440">
        <v>5</v>
      </c>
      <c r="J440">
        <v>0.05</v>
      </c>
      <c r="K440">
        <v>8110.44</v>
      </c>
      <c r="L440" t="s">
        <v>68</v>
      </c>
    </row>
    <row r="441" spans="1:12" x14ac:dyDescent="0.3">
      <c r="A441" t="s">
        <v>611</v>
      </c>
      <c r="B441" s="2">
        <v>45978.232464929853</v>
      </c>
      <c r="C441" t="s">
        <v>190</v>
      </c>
      <c r="D441" t="s">
        <v>43</v>
      </c>
      <c r="E441" t="s">
        <v>44</v>
      </c>
      <c r="F441" t="s">
        <v>106</v>
      </c>
      <c r="G441" t="s">
        <v>35</v>
      </c>
      <c r="H441">
        <v>7232.26</v>
      </c>
      <c r="I441">
        <v>4</v>
      </c>
      <c r="J441">
        <v>0</v>
      </c>
      <c r="K441">
        <v>699.44</v>
      </c>
      <c r="L441" t="s">
        <v>18</v>
      </c>
    </row>
    <row r="442" spans="1:12" x14ac:dyDescent="0.3">
      <c r="A442" t="s">
        <v>612</v>
      </c>
      <c r="B442" s="2">
        <v>45978.961923847688</v>
      </c>
      <c r="C442" t="s">
        <v>481</v>
      </c>
      <c r="D442" t="s">
        <v>73</v>
      </c>
      <c r="E442" t="s">
        <v>74</v>
      </c>
      <c r="F442" t="s">
        <v>45</v>
      </c>
      <c r="G442" t="s">
        <v>46</v>
      </c>
      <c r="H442">
        <v>1024.6400000000001</v>
      </c>
      <c r="I442">
        <v>4</v>
      </c>
      <c r="J442">
        <v>0</v>
      </c>
      <c r="K442">
        <v>125.39</v>
      </c>
      <c r="L442" t="s">
        <v>18</v>
      </c>
    </row>
    <row r="443" spans="1:12" x14ac:dyDescent="0.3">
      <c r="A443" t="s">
        <v>613</v>
      </c>
      <c r="B443" s="2">
        <v>45979.691382765523</v>
      </c>
      <c r="C443" t="s">
        <v>493</v>
      </c>
      <c r="D443" t="s">
        <v>28</v>
      </c>
      <c r="E443" t="s">
        <v>29</v>
      </c>
      <c r="F443" t="s">
        <v>63</v>
      </c>
      <c r="G443" t="s">
        <v>17</v>
      </c>
      <c r="H443">
        <v>63769.88</v>
      </c>
      <c r="I443">
        <v>3</v>
      </c>
      <c r="J443">
        <v>0.05</v>
      </c>
      <c r="K443">
        <v>10572.34</v>
      </c>
      <c r="L443" t="s">
        <v>51</v>
      </c>
    </row>
    <row r="444" spans="1:12" x14ac:dyDescent="0.3">
      <c r="A444" t="s">
        <v>614</v>
      </c>
      <c r="B444" s="2">
        <v>45980.420841683357</v>
      </c>
      <c r="C444" t="s">
        <v>615</v>
      </c>
      <c r="D444" t="s">
        <v>49</v>
      </c>
      <c r="E444" t="s">
        <v>50</v>
      </c>
      <c r="F444" t="s">
        <v>45</v>
      </c>
      <c r="G444" t="s">
        <v>46</v>
      </c>
      <c r="H444">
        <v>216.39</v>
      </c>
      <c r="I444">
        <v>1</v>
      </c>
      <c r="J444">
        <v>0.05</v>
      </c>
      <c r="K444">
        <v>40.97</v>
      </c>
      <c r="L444" t="s">
        <v>68</v>
      </c>
    </row>
    <row r="445" spans="1:12" x14ac:dyDescent="0.3">
      <c r="A445" t="s">
        <v>616</v>
      </c>
      <c r="B445" s="2">
        <v>45981.150300601192</v>
      </c>
      <c r="C445" t="s">
        <v>202</v>
      </c>
      <c r="D445" t="s">
        <v>90</v>
      </c>
      <c r="E445" t="s">
        <v>44</v>
      </c>
      <c r="F445" t="s">
        <v>106</v>
      </c>
      <c r="G445" t="s">
        <v>35</v>
      </c>
      <c r="H445">
        <v>8560.4599999999991</v>
      </c>
      <c r="I445">
        <v>5</v>
      </c>
      <c r="J445">
        <v>0</v>
      </c>
      <c r="K445">
        <v>1869.73</v>
      </c>
      <c r="L445" t="s">
        <v>51</v>
      </c>
    </row>
    <row r="446" spans="1:12" x14ac:dyDescent="0.3">
      <c r="A446" t="s">
        <v>617</v>
      </c>
      <c r="B446" s="2">
        <v>45981.879759519034</v>
      </c>
      <c r="C446" t="s">
        <v>335</v>
      </c>
      <c r="D446" t="s">
        <v>90</v>
      </c>
      <c r="E446" t="s">
        <v>44</v>
      </c>
      <c r="F446" t="s">
        <v>40</v>
      </c>
      <c r="G446" t="s">
        <v>17</v>
      </c>
      <c r="H446">
        <v>4761.12</v>
      </c>
      <c r="I446">
        <v>2</v>
      </c>
      <c r="J446">
        <v>0.05</v>
      </c>
      <c r="K446">
        <v>398.15</v>
      </c>
      <c r="L446" t="s">
        <v>18</v>
      </c>
    </row>
    <row r="447" spans="1:12" x14ac:dyDescent="0.3">
      <c r="A447" t="s">
        <v>618</v>
      </c>
      <c r="B447" s="2">
        <v>45982.609218436861</v>
      </c>
      <c r="C447" t="s">
        <v>27</v>
      </c>
      <c r="D447" t="s">
        <v>71</v>
      </c>
      <c r="E447" t="s">
        <v>55</v>
      </c>
      <c r="F447" t="s">
        <v>106</v>
      </c>
      <c r="G447" t="s">
        <v>35</v>
      </c>
      <c r="H447">
        <v>5420.3</v>
      </c>
      <c r="I447">
        <v>3</v>
      </c>
      <c r="J447">
        <v>0.05</v>
      </c>
      <c r="K447">
        <v>444.44</v>
      </c>
      <c r="L447" t="s">
        <v>31</v>
      </c>
    </row>
    <row r="448" spans="1:12" x14ac:dyDescent="0.3">
      <c r="A448" t="s">
        <v>619</v>
      </c>
      <c r="B448" s="2">
        <v>45983.338677354703</v>
      </c>
      <c r="C448" t="s">
        <v>493</v>
      </c>
      <c r="D448" t="s">
        <v>38</v>
      </c>
      <c r="E448" t="s">
        <v>39</v>
      </c>
      <c r="F448" t="s">
        <v>56</v>
      </c>
      <c r="G448" t="s">
        <v>35</v>
      </c>
      <c r="H448">
        <v>851.18</v>
      </c>
      <c r="I448">
        <v>1</v>
      </c>
      <c r="J448">
        <v>0.05</v>
      </c>
      <c r="K448">
        <v>202.85</v>
      </c>
      <c r="L448" t="s">
        <v>51</v>
      </c>
    </row>
    <row r="449" spans="1:12" x14ac:dyDescent="0.3">
      <c r="A449" t="s">
        <v>620</v>
      </c>
      <c r="B449" s="2">
        <v>45984.068136272537</v>
      </c>
      <c r="C449" t="s">
        <v>329</v>
      </c>
      <c r="D449" t="s">
        <v>38</v>
      </c>
      <c r="E449" t="s">
        <v>39</v>
      </c>
      <c r="F449" t="s">
        <v>40</v>
      </c>
      <c r="G449" t="s">
        <v>17</v>
      </c>
      <c r="H449">
        <v>6218.05</v>
      </c>
      <c r="I449">
        <v>3</v>
      </c>
      <c r="J449">
        <v>0.05</v>
      </c>
      <c r="K449">
        <v>1496.73</v>
      </c>
      <c r="L449" t="s">
        <v>25</v>
      </c>
    </row>
    <row r="450" spans="1:12" x14ac:dyDescent="0.3">
      <c r="A450" t="s">
        <v>621</v>
      </c>
      <c r="B450" s="2">
        <v>45984.797595190372</v>
      </c>
      <c r="C450" t="s">
        <v>327</v>
      </c>
      <c r="D450" t="s">
        <v>38</v>
      </c>
      <c r="E450" t="s">
        <v>39</v>
      </c>
      <c r="F450" t="s">
        <v>23</v>
      </c>
      <c r="G450" t="s">
        <v>24</v>
      </c>
      <c r="H450">
        <v>47709.14</v>
      </c>
      <c r="I450">
        <v>4</v>
      </c>
      <c r="J450">
        <v>0.1</v>
      </c>
      <c r="K450">
        <v>13184.01</v>
      </c>
      <c r="L450" t="s">
        <v>68</v>
      </c>
    </row>
    <row r="451" spans="1:12" x14ac:dyDescent="0.3">
      <c r="A451" t="s">
        <v>622</v>
      </c>
      <c r="B451" s="2">
        <v>45985.527054108214</v>
      </c>
      <c r="C451" t="s">
        <v>198</v>
      </c>
      <c r="D451" t="s">
        <v>28</v>
      </c>
      <c r="E451" t="s">
        <v>29</v>
      </c>
      <c r="F451" t="s">
        <v>16</v>
      </c>
      <c r="G451" t="s">
        <v>17</v>
      </c>
      <c r="H451">
        <v>67678.23</v>
      </c>
      <c r="I451">
        <v>5</v>
      </c>
      <c r="J451">
        <v>0.05</v>
      </c>
      <c r="K451">
        <v>8393.61</v>
      </c>
      <c r="L451" t="s">
        <v>18</v>
      </c>
    </row>
    <row r="452" spans="1:12" x14ac:dyDescent="0.3">
      <c r="A452" t="s">
        <v>623</v>
      </c>
      <c r="B452" s="2">
        <v>45986.256513026041</v>
      </c>
      <c r="C452" t="s">
        <v>198</v>
      </c>
      <c r="D452" t="s">
        <v>14</v>
      </c>
      <c r="E452" t="s">
        <v>15</v>
      </c>
      <c r="F452" t="s">
        <v>16</v>
      </c>
      <c r="G452" t="s">
        <v>17</v>
      </c>
      <c r="H452">
        <v>40355.47</v>
      </c>
      <c r="I452">
        <v>3</v>
      </c>
      <c r="J452">
        <v>0</v>
      </c>
      <c r="K452">
        <v>6052.88</v>
      </c>
      <c r="L452" t="s">
        <v>31</v>
      </c>
    </row>
    <row r="453" spans="1:12" x14ac:dyDescent="0.3">
      <c r="A453" t="s">
        <v>624</v>
      </c>
      <c r="B453" s="2">
        <v>45986.985971943883</v>
      </c>
      <c r="C453" t="s">
        <v>53</v>
      </c>
      <c r="D453" t="s">
        <v>38</v>
      </c>
      <c r="E453" t="s">
        <v>39</v>
      </c>
      <c r="F453" t="s">
        <v>63</v>
      </c>
      <c r="G453" t="s">
        <v>17</v>
      </c>
      <c r="H453">
        <v>77317.81</v>
      </c>
      <c r="I453">
        <v>4</v>
      </c>
      <c r="J453">
        <v>0</v>
      </c>
      <c r="K453">
        <v>6937.85</v>
      </c>
      <c r="L453" t="s">
        <v>31</v>
      </c>
    </row>
    <row r="454" spans="1:12" x14ac:dyDescent="0.3">
      <c r="A454" t="s">
        <v>625</v>
      </c>
      <c r="B454" s="2">
        <v>45987.71543086171</v>
      </c>
      <c r="C454" t="s">
        <v>103</v>
      </c>
      <c r="D454" t="s">
        <v>73</v>
      </c>
      <c r="E454" t="s">
        <v>74</v>
      </c>
      <c r="F454" t="s">
        <v>45</v>
      </c>
      <c r="G454" t="s">
        <v>46</v>
      </c>
      <c r="H454">
        <v>1195.01</v>
      </c>
      <c r="I454">
        <v>5</v>
      </c>
      <c r="J454">
        <v>0.05</v>
      </c>
      <c r="K454">
        <v>257.52</v>
      </c>
      <c r="L454" t="s">
        <v>18</v>
      </c>
    </row>
    <row r="455" spans="1:12" x14ac:dyDescent="0.3">
      <c r="A455" t="s">
        <v>626</v>
      </c>
      <c r="B455" s="2">
        <v>45988.444889779552</v>
      </c>
      <c r="C455" t="s">
        <v>261</v>
      </c>
      <c r="D455" t="s">
        <v>114</v>
      </c>
      <c r="E455" t="s">
        <v>114</v>
      </c>
      <c r="F455" t="s">
        <v>40</v>
      </c>
      <c r="G455" t="s">
        <v>17</v>
      </c>
      <c r="H455">
        <v>10726.76</v>
      </c>
      <c r="I455">
        <v>4</v>
      </c>
      <c r="J455">
        <v>0</v>
      </c>
      <c r="K455">
        <v>1276.43</v>
      </c>
      <c r="L455" t="s">
        <v>68</v>
      </c>
    </row>
    <row r="456" spans="1:12" x14ac:dyDescent="0.3">
      <c r="A456" t="s">
        <v>627</v>
      </c>
      <c r="B456" s="2">
        <v>45989.174348697386</v>
      </c>
      <c r="C456" t="s">
        <v>110</v>
      </c>
      <c r="D456" t="s">
        <v>73</v>
      </c>
      <c r="E456" t="s">
        <v>74</v>
      </c>
      <c r="F456" t="s">
        <v>87</v>
      </c>
      <c r="G456" t="s">
        <v>17</v>
      </c>
      <c r="H456">
        <v>137437.82999999999</v>
      </c>
      <c r="I456">
        <v>3</v>
      </c>
      <c r="J456">
        <v>0.15</v>
      </c>
      <c r="K456">
        <v>34430.51</v>
      </c>
      <c r="L456" t="s">
        <v>51</v>
      </c>
    </row>
    <row r="457" spans="1:12" x14ac:dyDescent="0.3">
      <c r="A457" t="s">
        <v>628</v>
      </c>
      <c r="B457" s="2">
        <v>45989.903807615221</v>
      </c>
      <c r="C457" t="s">
        <v>81</v>
      </c>
      <c r="D457" t="s">
        <v>61</v>
      </c>
      <c r="E457" t="s">
        <v>62</v>
      </c>
      <c r="F457" t="s">
        <v>45</v>
      </c>
      <c r="G457" t="s">
        <v>46</v>
      </c>
      <c r="H457">
        <v>1264.5899999999999</v>
      </c>
      <c r="I457">
        <v>5</v>
      </c>
      <c r="J457">
        <v>0.05</v>
      </c>
      <c r="K457">
        <v>152.32</v>
      </c>
      <c r="L457" t="s">
        <v>68</v>
      </c>
    </row>
    <row r="458" spans="1:12" x14ac:dyDescent="0.3">
      <c r="A458" t="s">
        <v>629</v>
      </c>
      <c r="B458" s="2">
        <v>45990.633266533063</v>
      </c>
      <c r="C458" t="s">
        <v>172</v>
      </c>
      <c r="D458" t="s">
        <v>21</v>
      </c>
      <c r="E458" t="s">
        <v>22</v>
      </c>
      <c r="F458" t="s">
        <v>30</v>
      </c>
      <c r="G458" t="s">
        <v>17</v>
      </c>
      <c r="H458">
        <v>115268.76</v>
      </c>
      <c r="I458">
        <v>4</v>
      </c>
      <c r="J458">
        <v>0.1</v>
      </c>
      <c r="K458">
        <v>22083.82</v>
      </c>
      <c r="L458" t="s">
        <v>51</v>
      </c>
    </row>
    <row r="459" spans="1:12" x14ac:dyDescent="0.3">
      <c r="A459" t="s">
        <v>630</v>
      </c>
      <c r="B459" s="2">
        <v>45991.36272545089</v>
      </c>
      <c r="C459" t="s">
        <v>437</v>
      </c>
      <c r="D459" t="s">
        <v>61</v>
      </c>
      <c r="E459" t="s">
        <v>62</v>
      </c>
      <c r="F459" t="s">
        <v>40</v>
      </c>
      <c r="G459" t="s">
        <v>17</v>
      </c>
      <c r="H459">
        <v>3940.93</v>
      </c>
      <c r="I459">
        <v>2</v>
      </c>
      <c r="J459">
        <v>0.2</v>
      </c>
      <c r="K459">
        <v>655.04999999999995</v>
      </c>
      <c r="L459" t="s">
        <v>18</v>
      </c>
    </row>
    <row r="460" spans="1:12" x14ac:dyDescent="0.3">
      <c r="A460" t="s">
        <v>631</v>
      </c>
      <c r="B460" s="2">
        <v>45992.092184368717</v>
      </c>
      <c r="C460" t="s">
        <v>401</v>
      </c>
      <c r="D460" t="s">
        <v>28</v>
      </c>
      <c r="E460" t="s">
        <v>29</v>
      </c>
      <c r="F460" t="s">
        <v>40</v>
      </c>
      <c r="G460" t="s">
        <v>17</v>
      </c>
      <c r="H460">
        <v>11249.82</v>
      </c>
      <c r="I460">
        <v>5</v>
      </c>
      <c r="J460">
        <v>0.05</v>
      </c>
      <c r="K460">
        <v>1329.56</v>
      </c>
      <c r="L460" t="s">
        <v>51</v>
      </c>
    </row>
    <row r="461" spans="1:12" x14ac:dyDescent="0.3">
      <c r="A461" t="s">
        <v>632</v>
      </c>
      <c r="B461" s="2">
        <v>45992.821643286559</v>
      </c>
      <c r="C461" t="s">
        <v>421</v>
      </c>
      <c r="D461" t="s">
        <v>14</v>
      </c>
      <c r="E461" t="s">
        <v>15</v>
      </c>
      <c r="F461" t="s">
        <v>106</v>
      </c>
      <c r="G461" t="s">
        <v>35</v>
      </c>
      <c r="H461">
        <v>5693.51</v>
      </c>
      <c r="I461">
        <v>4</v>
      </c>
      <c r="J461">
        <v>0.2</v>
      </c>
      <c r="K461">
        <v>1351.31</v>
      </c>
      <c r="L461" t="s">
        <v>25</v>
      </c>
    </row>
    <row r="462" spans="1:12" x14ac:dyDescent="0.3">
      <c r="A462" t="s">
        <v>633</v>
      </c>
      <c r="B462" s="2">
        <v>45993.551102204401</v>
      </c>
      <c r="C462" t="s">
        <v>456</v>
      </c>
      <c r="D462" t="s">
        <v>61</v>
      </c>
      <c r="E462" t="s">
        <v>62</v>
      </c>
      <c r="F462" t="s">
        <v>87</v>
      </c>
      <c r="G462" t="s">
        <v>17</v>
      </c>
      <c r="H462">
        <v>191270.38</v>
      </c>
      <c r="I462">
        <v>4</v>
      </c>
      <c r="J462">
        <v>0.05</v>
      </c>
      <c r="K462">
        <v>25400.87</v>
      </c>
      <c r="L462" t="s">
        <v>68</v>
      </c>
    </row>
    <row r="463" spans="1:12" x14ac:dyDescent="0.3">
      <c r="A463" t="s">
        <v>634</v>
      </c>
      <c r="B463" s="2">
        <v>45994.280561122243</v>
      </c>
      <c r="C463" t="s">
        <v>250</v>
      </c>
      <c r="D463" t="s">
        <v>61</v>
      </c>
      <c r="E463" t="s">
        <v>62</v>
      </c>
      <c r="F463" t="s">
        <v>23</v>
      </c>
      <c r="G463" t="s">
        <v>24</v>
      </c>
      <c r="H463">
        <v>24741</v>
      </c>
      <c r="I463">
        <v>2</v>
      </c>
      <c r="J463">
        <v>0.05</v>
      </c>
      <c r="K463">
        <v>2974.19</v>
      </c>
      <c r="L463" t="s">
        <v>68</v>
      </c>
    </row>
    <row r="464" spans="1:12" x14ac:dyDescent="0.3">
      <c r="A464" t="s">
        <v>635</v>
      </c>
      <c r="B464" s="2">
        <v>45995.01002004007</v>
      </c>
      <c r="C464" t="s">
        <v>48</v>
      </c>
      <c r="D464" t="s">
        <v>14</v>
      </c>
      <c r="E464" t="s">
        <v>15</v>
      </c>
      <c r="F464" t="s">
        <v>23</v>
      </c>
      <c r="G464" t="s">
        <v>24</v>
      </c>
      <c r="H464">
        <v>55978.86</v>
      </c>
      <c r="I464">
        <v>5</v>
      </c>
      <c r="J464">
        <v>0.15</v>
      </c>
      <c r="K464">
        <v>7266.15</v>
      </c>
      <c r="L464" t="s">
        <v>18</v>
      </c>
    </row>
    <row r="465" spans="1:12" x14ac:dyDescent="0.3">
      <c r="A465" t="s">
        <v>636</v>
      </c>
      <c r="B465" s="2">
        <v>45995.739478957898</v>
      </c>
      <c r="C465" t="s">
        <v>493</v>
      </c>
      <c r="D465" t="s">
        <v>54</v>
      </c>
      <c r="E465" t="s">
        <v>55</v>
      </c>
      <c r="F465" t="s">
        <v>63</v>
      </c>
      <c r="G465" t="s">
        <v>17</v>
      </c>
      <c r="H465">
        <v>63397</v>
      </c>
      <c r="I465">
        <v>3</v>
      </c>
      <c r="J465">
        <v>0.15</v>
      </c>
      <c r="K465">
        <v>13620.96</v>
      </c>
      <c r="L465" t="s">
        <v>68</v>
      </c>
    </row>
    <row r="466" spans="1:12" x14ac:dyDescent="0.3">
      <c r="A466" t="s">
        <v>637</v>
      </c>
      <c r="B466" s="2">
        <v>45996.468937875739</v>
      </c>
      <c r="C466" t="s">
        <v>293</v>
      </c>
      <c r="D466" t="s">
        <v>90</v>
      </c>
      <c r="E466" t="s">
        <v>44</v>
      </c>
      <c r="F466" t="s">
        <v>40</v>
      </c>
      <c r="G466" t="s">
        <v>17</v>
      </c>
      <c r="H466">
        <v>9498.86</v>
      </c>
      <c r="I466">
        <v>4</v>
      </c>
      <c r="J466">
        <v>0.15</v>
      </c>
      <c r="K466">
        <v>1531.24</v>
      </c>
      <c r="L466" t="s">
        <v>18</v>
      </c>
    </row>
    <row r="467" spans="1:12" x14ac:dyDescent="0.3">
      <c r="A467" t="s">
        <v>638</v>
      </c>
      <c r="B467" s="2">
        <v>45997.198396793567</v>
      </c>
      <c r="C467" t="s">
        <v>116</v>
      </c>
      <c r="D467" t="s">
        <v>28</v>
      </c>
      <c r="E467" t="s">
        <v>29</v>
      </c>
      <c r="F467" t="s">
        <v>56</v>
      </c>
      <c r="G467" t="s">
        <v>35</v>
      </c>
      <c r="H467">
        <v>1815.76</v>
      </c>
      <c r="I467">
        <v>2</v>
      </c>
      <c r="J467">
        <v>0.05</v>
      </c>
      <c r="K467">
        <v>193.43</v>
      </c>
      <c r="L467" t="s">
        <v>18</v>
      </c>
    </row>
    <row r="468" spans="1:12" x14ac:dyDescent="0.3">
      <c r="A468" t="s">
        <v>639</v>
      </c>
      <c r="B468" s="2">
        <v>45997.927855711408</v>
      </c>
      <c r="C468" t="s">
        <v>329</v>
      </c>
      <c r="D468" t="s">
        <v>71</v>
      </c>
      <c r="E468" t="s">
        <v>55</v>
      </c>
      <c r="F468" t="s">
        <v>106</v>
      </c>
      <c r="G468" t="s">
        <v>35</v>
      </c>
      <c r="H468">
        <v>8299.48</v>
      </c>
      <c r="I468">
        <v>5</v>
      </c>
      <c r="J468">
        <v>0.05</v>
      </c>
      <c r="K468">
        <v>779.04</v>
      </c>
      <c r="L468" t="s">
        <v>51</v>
      </c>
    </row>
    <row r="469" spans="1:12" x14ac:dyDescent="0.3">
      <c r="A469" t="s">
        <v>640</v>
      </c>
      <c r="B469" s="2">
        <v>45998.65731462925</v>
      </c>
      <c r="C469" t="s">
        <v>247</v>
      </c>
      <c r="D469" t="s">
        <v>21</v>
      </c>
      <c r="E469" t="s">
        <v>22</v>
      </c>
      <c r="F469" t="s">
        <v>94</v>
      </c>
      <c r="G469" t="s">
        <v>46</v>
      </c>
      <c r="H469">
        <v>52063.11</v>
      </c>
      <c r="I469">
        <v>4</v>
      </c>
      <c r="J469">
        <v>0.15</v>
      </c>
      <c r="K469">
        <v>8112.76</v>
      </c>
      <c r="L469" t="s">
        <v>25</v>
      </c>
    </row>
    <row r="470" spans="1:12" x14ac:dyDescent="0.3">
      <c r="A470" t="s">
        <v>641</v>
      </c>
      <c r="B470" s="2">
        <v>45999.386773547078</v>
      </c>
      <c r="C470" t="s">
        <v>190</v>
      </c>
      <c r="D470" t="s">
        <v>114</v>
      </c>
      <c r="E470" t="s">
        <v>114</v>
      </c>
      <c r="F470" t="s">
        <v>34</v>
      </c>
      <c r="G470" t="s">
        <v>35</v>
      </c>
      <c r="H470">
        <v>8270.56</v>
      </c>
      <c r="I470">
        <v>5</v>
      </c>
      <c r="J470">
        <v>0.2</v>
      </c>
      <c r="K470">
        <v>1736.01</v>
      </c>
      <c r="L470" t="s">
        <v>25</v>
      </c>
    </row>
    <row r="471" spans="1:12" x14ac:dyDescent="0.3">
      <c r="A471" t="s">
        <v>642</v>
      </c>
      <c r="B471" s="2">
        <v>46000.116232464919</v>
      </c>
      <c r="C471" t="s">
        <v>269</v>
      </c>
      <c r="D471" t="s">
        <v>28</v>
      </c>
      <c r="E471" t="s">
        <v>29</v>
      </c>
      <c r="F471" t="s">
        <v>94</v>
      </c>
      <c r="G471" t="s">
        <v>46</v>
      </c>
      <c r="H471">
        <v>43404.58</v>
      </c>
      <c r="I471">
        <v>3</v>
      </c>
      <c r="J471">
        <v>0.15</v>
      </c>
      <c r="K471">
        <v>6618.6</v>
      </c>
      <c r="L471" t="s">
        <v>18</v>
      </c>
    </row>
    <row r="472" spans="1:12" x14ac:dyDescent="0.3">
      <c r="A472" t="s">
        <v>643</v>
      </c>
      <c r="B472" s="2">
        <v>46000.845691382747</v>
      </c>
      <c r="C472" t="s">
        <v>113</v>
      </c>
      <c r="D472" t="s">
        <v>114</v>
      </c>
      <c r="E472" t="s">
        <v>114</v>
      </c>
      <c r="F472" t="s">
        <v>63</v>
      </c>
      <c r="G472" t="s">
        <v>17</v>
      </c>
      <c r="H472">
        <v>85765.4</v>
      </c>
      <c r="I472">
        <v>5</v>
      </c>
      <c r="J472">
        <v>0.1</v>
      </c>
      <c r="K472">
        <v>23572.58</v>
      </c>
      <c r="L472" t="s">
        <v>18</v>
      </c>
    </row>
    <row r="473" spans="1:12" x14ac:dyDescent="0.3">
      <c r="A473" t="s">
        <v>644</v>
      </c>
      <c r="B473" s="2">
        <v>46001.575150300589</v>
      </c>
      <c r="C473" t="s">
        <v>356</v>
      </c>
      <c r="D473" t="s">
        <v>90</v>
      </c>
      <c r="E473" t="s">
        <v>44</v>
      </c>
      <c r="F473" t="s">
        <v>75</v>
      </c>
      <c r="G473" t="s">
        <v>24</v>
      </c>
      <c r="H473">
        <v>35069.339999999997</v>
      </c>
      <c r="I473">
        <v>4</v>
      </c>
      <c r="J473">
        <v>0</v>
      </c>
      <c r="K473">
        <v>3102.53</v>
      </c>
      <c r="L473" t="s">
        <v>68</v>
      </c>
    </row>
    <row r="474" spans="1:12" x14ac:dyDescent="0.3">
      <c r="A474" t="s">
        <v>645</v>
      </c>
      <c r="B474" s="2">
        <v>46002.304609218423</v>
      </c>
      <c r="C474" t="s">
        <v>83</v>
      </c>
      <c r="D474" t="s">
        <v>43</v>
      </c>
      <c r="E474" t="s">
        <v>44</v>
      </c>
      <c r="F474" t="s">
        <v>16</v>
      </c>
      <c r="G474" t="s">
        <v>17</v>
      </c>
      <c r="H474">
        <v>27310.01</v>
      </c>
      <c r="I474">
        <v>2</v>
      </c>
      <c r="J474">
        <v>0.1</v>
      </c>
      <c r="K474">
        <v>6006.23</v>
      </c>
      <c r="L474" t="s">
        <v>25</v>
      </c>
    </row>
    <row r="475" spans="1:12" x14ac:dyDescent="0.3">
      <c r="A475" t="s">
        <v>646</v>
      </c>
      <c r="B475" s="2">
        <v>46003.034068136258</v>
      </c>
      <c r="C475" t="s">
        <v>413</v>
      </c>
      <c r="D475" t="s">
        <v>28</v>
      </c>
      <c r="E475" t="s">
        <v>29</v>
      </c>
      <c r="F475" t="s">
        <v>40</v>
      </c>
      <c r="G475" t="s">
        <v>17</v>
      </c>
      <c r="H475">
        <v>9467.2199999999993</v>
      </c>
      <c r="I475">
        <v>4</v>
      </c>
      <c r="J475">
        <v>0.05</v>
      </c>
      <c r="K475">
        <v>1048.3800000000001</v>
      </c>
      <c r="L475" t="s">
        <v>51</v>
      </c>
    </row>
    <row r="476" spans="1:12" x14ac:dyDescent="0.3">
      <c r="A476" t="s">
        <v>647</v>
      </c>
      <c r="B476" s="2">
        <v>46003.7635270541</v>
      </c>
      <c r="C476" t="s">
        <v>53</v>
      </c>
      <c r="D476" t="s">
        <v>54</v>
      </c>
      <c r="E476" t="s">
        <v>55</v>
      </c>
      <c r="F476" t="s">
        <v>56</v>
      </c>
      <c r="G476" t="s">
        <v>35</v>
      </c>
      <c r="H476">
        <v>1929.9</v>
      </c>
      <c r="I476">
        <v>2</v>
      </c>
      <c r="J476">
        <v>0</v>
      </c>
      <c r="K476">
        <v>383.7</v>
      </c>
      <c r="L476" t="s">
        <v>68</v>
      </c>
    </row>
    <row r="477" spans="1:12" x14ac:dyDescent="0.3">
      <c r="A477" t="s">
        <v>647</v>
      </c>
      <c r="B477" s="2">
        <v>46004.492985971927</v>
      </c>
      <c r="C477" t="s">
        <v>481</v>
      </c>
      <c r="D477" t="s">
        <v>49</v>
      </c>
      <c r="E477" t="s">
        <v>50</v>
      </c>
      <c r="F477" t="s">
        <v>45</v>
      </c>
      <c r="G477" t="s">
        <v>46</v>
      </c>
      <c r="H477">
        <v>219.31</v>
      </c>
      <c r="I477">
        <v>1</v>
      </c>
      <c r="J477">
        <v>0.15</v>
      </c>
      <c r="K477">
        <v>56.27</v>
      </c>
      <c r="L477" t="s">
        <v>68</v>
      </c>
    </row>
    <row r="478" spans="1:12" x14ac:dyDescent="0.3">
      <c r="A478" t="s">
        <v>648</v>
      </c>
      <c r="B478" s="2">
        <v>46005.222444889769</v>
      </c>
      <c r="C478" t="s">
        <v>493</v>
      </c>
      <c r="D478" t="s">
        <v>21</v>
      </c>
      <c r="E478" t="s">
        <v>22</v>
      </c>
      <c r="F478" t="s">
        <v>23</v>
      </c>
      <c r="G478" t="s">
        <v>24</v>
      </c>
      <c r="H478">
        <v>36635.99</v>
      </c>
      <c r="I478">
        <v>3</v>
      </c>
      <c r="J478">
        <v>0.05</v>
      </c>
      <c r="K478">
        <v>8811.98</v>
      </c>
      <c r="L478" t="s">
        <v>25</v>
      </c>
    </row>
    <row r="479" spans="1:12" x14ac:dyDescent="0.3">
      <c r="A479" t="s">
        <v>649</v>
      </c>
      <c r="B479" s="2">
        <v>46005.951903807603</v>
      </c>
      <c r="C479" t="s">
        <v>432</v>
      </c>
      <c r="D479" t="s">
        <v>114</v>
      </c>
      <c r="E479" t="s">
        <v>114</v>
      </c>
      <c r="F479" t="s">
        <v>45</v>
      </c>
      <c r="G479" t="s">
        <v>46</v>
      </c>
      <c r="H479">
        <v>207.36</v>
      </c>
      <c r="I479">
        <v>1</v>
      </c>
      <c r="J479">
        <v>0.2</v>
      </c>
      <c r="K479">
        <v>35.869999999999997</v>
      </c>
      <c r="L479" t="s">
        <v>25</v>
      </c>
    </row>
    <row r="480" spans="1:12" x14ac:dyDescent="0.3">
      <c r="A480" t="s">
        <v>650</v>
      </c>
      <c r="B480" s="2">
        <v>46006.681362725438</v>
      </c>
      <c r="C480" t="s">
        <v>329</v>
      </c>
      <c r="D480" t="s">
        <v>14</v>
      </c>
      <c r="E480" t="s">
        <v>15</v>
      </c>
      <c r="F480" t="s">
        <v>106</v>
      </c>
      <c r="G480" t="s">
        <v>35</v>
      </c>
      <c r="H480">
        <v>6701.96</v>
      </c>
      <c r="I480">
        <v>4</v>
      </c>
      <c r="J480">
        <v>0.15</v>
      </c>
      <c r="K480">
        <v>1793.4</v>
      </c>
      <c r="L480" t="s">
        <v>51</v>
      </c>
    </row>
    <row r="481" spans="1:12" x14ac:dyDescent="0.3">
      <c r="A481" t="s">
        <v>651</v>
      </c>
      <c r="B481" s="2">
        <v>46007.410821643272</v>
      </c>
      <c r="C481" t="s">
        <v>401</v>
      </c>
      <c r="D481" t="s">
        <v>14</v>
      </c>
      <c r="E481" t="s">
        <v>15</v>
      </c>
      <c r="F481" t="s">
        <v>63</v>
      </c>
      <c r="G481" t="s">
        <v>17</v>
      </c>
      <c r="H481">
        <v>38406.25</v>
      </c>
      <c r="I481">
        <v>2</v>
      </c>
      <c r="J481">
        <v>0.05</v>
      </c>
      <c r="K481">
        <v>5135.3900000000003</v>
      </c>
      <c r="L481" t="s">
        <v>68</v>
      </c>
    </row>
    <row r="482" spans="1:12" x14ac:dyDescent="0.3">
      <c r="A482" t="s">
        <v>652</v>
      </c>
      <c r="B482" s="2">
        <v>46008.140280561107</v>
      </c>
      <c r="C482" t="s">
        <v>96</v>
      </c>
      <c r="D482" t="s">
        <v>54</v>
      </c>
      <c r="E482" t="s">
        <v>55</v>
      </c>
      <c r="F482" t="s">
        <v>40</v>
      </c>
      <c r="G482" t="s">
        <v>17</v>
      </c>
      <c r="H482">
        <v>10777.88</v>
      </c>
      <c r="I482">
        <v>5</v>
      </c>
      <c r="J482">
        <v>0.2</v>
      </c>
      <c r="K482">
        <v>1810.12</v>
      </c>
      <c r="L482" t="s">
        <v>18</v>
      </c>
    </row>
    <row r="483" spans="1:12" x14ac:dyDescent="0.3">
      <c r="A483" t="s">
        <v>653</v>
      </c>
      <c r="B483" s="2">
        <v>46008.869739478949</v>
      </c>
      <c r="C483" t="s">
        <v>354</v>
      </c>
      <c r="D483" t="s">
        <v>49</v>
      </c>
      <c r="E483" t="s">
        <v>50</v>
      </c>
      <c r="F483" t="s">
        <v>23</v>
      </c>
      <c r="G483" t="s">
        <v>24</v>
      </c>
      <c r="H483">
        <v>50068.14</v>
      </c>
      <c r="I483">
        <v>4</v>
      </c>
      <c r="J483">
        <v>0.05</v>
      </c>
      <c r="K483">
        <v>7547.24</v>
      </c>
      <c r="L483" t="s">
        <v>51</v>
      </c>
    </row>
    <row r="484" spans="1:12" x14ac:dyDescent="0.3">
      <c r="A484" t="s">
        <v>654</v>
      </c>
      <c r="B484" s="2">
        <v>46009.599198396783</v>
      </c>
      <c r="C484" t="s">
        <v>122</v>
      </c>
      <c r="D484" t="s">
        <v>28</v>
      </c>
      <c r="E484" t="s">
        <v>29</v>
      </c>
      <c r="F484" t="s">
        <v>16</v>
      </c>
      <c r="G484" t="s">
        <v>17</v>
      </c>
      <c r="H484">
        <v>22676.49</v>
      </c>
      <c r="I484">
        <v>2</v>
      </c>
      <c r="J484">
        <v>0.15</v>
      </c>
      <c r="K484">
        <v>2516.75</v>
      </c>
      <c r="L484" t="s">
        <v>51</v>
      </c>
    </row>
    <row r="485" spans="1:12" x14ac:dyDescent="0.3">
      <c r="A485" t="s">
        <v>655</v>
      </c>
      <c r="B485" s="2">
        <v>46010.328657314618</v>
      </c>
      <c r="C485" t="s">
        <v>230</v>
      </c>
      <c r="D485" t="s">
        <v>14</v>
      </c>
      <c r="E485" t="s">
        <v>15</v>
      </c>
      <c r="F485" t="s">
        <v>34</v>
      </c>
      <c r="G485" t="s">
        <v>35</v>
      </c>
      <c r="H485">
        <v>7453.19</v>
      </c>
      <c r="I485">
        <v>4</v>
      </c>
      <c r="J485">
        <v>0</v>
      </c>
      <c r="K485">
        <v>1309.52</v>
      </c>
      <c r="L485" t="s">
        <v>18</v>
      </c>
    </row>
    <row r="486" spans="1:12" x14ac:dyDescent="0.3">
      <c r="A486" t="s">
        <v>656</v>
      </c>
      <c r="B486" s="2">
        <v>46011.058116232452</v>
      </c>
      <c r="C486" t="s">
        <v>216</v>
      </c>
      <c r="D486" t="s">
        <v>61</v>
      </c>
      <c r="E486" t="s">
        <v>62</v>
      </c>
      <c r="F486" t="s">
        <v>63</v>
      </c>
      <c r="G486" t="s">
        <v>17</v>
      </c>
      <c r="H486">
        <v>17292.419999999998</v>
      </c>
      <c r="I486">
        <v>1</v>
      </c>
      <c r="J486">
        <v>0.2</v>
      </c>
      <c r="K486">
        <v>2751.94</v>
      </c>
      <c r="L486" t="s">
        <v>68</v>
      </c>
    </row>
    <row r="487" spans="1:12" x14ac:dyDescent="0.3">
      <c r="A487" t="s">
        <v>657</v>
      </c>
      <c r="B487" s="2">
        <v>46011.787575150287</v>
      </c>
      <c r="C487" t="s">
        <v>83</v>
      </c>
      <c r="D487" t="s">
        <v>49</v>
      </c>
      <c r="E487" t="s">
        <v>50</v>
      </c>
      <c r="F487" t="s">
        <v>30</v>
      </c>
      <c r="G487" t="s">
        <v>17</v>
      </c>
      <c r="H487">
        <v>25855.7</v>
      </c>
      <c r="I487">
        <v>1</v>
      </c>
      <c r="J487">
        <v>0.05</v>
      </c>
      <c r="K487">
        <v>4898.3</v>
      </c>
      <c r="L487" t="s">
        <v>31</v>
      </c>
    </row>
    <row r="488" spans="1:12" x14ac:dyDescent="0.3">
      <c r="A488" t="s">
        <v>658</v>
      </c>
      <c r="B488" s="2">
        <v>46012.517034068122</v>
      </c>
      <c r="C488" t="s">
        <v>65</v>
      </c>
      <c r="D488" t="s">
        <v>73</v>
      </c>
      <c r="E488" t="s">
        <v>74</v>
      </c>
      <c r="F488" t="s">
        <v>75</v>
      </c>
      <c r="G488" t="s">
        <v>24</v>
      </c>
      <c r="H488">
        <v>43866.45</v>
      </c>
      <c r="I488">
        <v>5</v>
      </c>
      <c r="J488">
        <v>0.15</v>
      </c>
      <c r="K488">
        <v>6768.31</v>
      </c>
      <c r="L488" t="s">
        <v>51</v>
      </c>
    </row>
    <row r="489" spans="1:12" x14ac:dyDescent="0.3">
      <c r="A489" t="s">
        <v>659</v>
      </c>
      <c r="B489" s="2">
        <v>46013.246492985963</v>
      </c>
      <c r="C489" t="s">
        <v>247</v>
      </c>
      <c r="D489" t="s">
        <v>38</v>
      </c>
      <c r="E489" t="s">
        <v>39</v>
      </c>
      <c r="F489" t="s">
        <v>63</v>
      </c>
      <c r="G489" t="s">
        <v>17</v>
      </c>
      <c r="H489">
        <v>83644.05</v>
      </c>
      <c r="I489">
        <v>4</v>
      </c>
      <c r="J489">
        <v>0.1</v>
      </c>
      <c r="K489">
        <v>8648.99</v>
      </c>
      <c r="L489" t="s">
        <v>25</v>
      </c>
    </row>
    <row r="490" spans="1:12" x14ac:dyDescent="0.3">
      <c r="A490" t="s">
        <v>660</v>
      </c>
      <c r="B490" s="2">
        <v>46013.975951903798</v>
      </c>
      <c r="C490" t="s">
        <v>236</v>
      </c>
      <c r="D490" t="s">
        <v>21</v>
      </c>
      <c r="E490" t="s">
        <v>22</v>
      </c>
      <c r="F490" t="s">
        <v>94</v>
      </c>
      <c r="G490" t="s">
        <v>46</v>
      </c>
      <c r="H490">
        <v>71206.52</v>
      </c>
      <c r="I490">
        <v>5</v>
      </c>
      <c r="J490">
        <v>0.15</v>
      </c>
      <c r="K490">
        <v>12961.7</v>
      </c>
      <c r="L490" t="s">
        <v>25</v>
      </c>
    </row>
    <row r="491" spans="1:12" x14ac:dyDescent="0.3">
      <c r="A491" t="s">
        <v>661</v>
      </c>
      <c r="B491" s="2">
        <v>46014.705410821633</v>
      </c>
      <c r="C491" t="s">
        <v>383</v>
      </c>
      <c r="D491" t="s">
        <v>61</v>
      </c>
      <c r="E491" t="s">
        <v>62</v>
      </c>
      <c r="F491" t="s">
        <v>75</v>
      </c>
      <c r="G491" t="s">
        <v>24</v>
      </c>
      <c r="H491">
        <v>9169.7099999999991</v>
      </c>
      <c r="I491">
        <v>1</v>
      </c>
      <c r="J491">
        <v>0.05</v>
      </c>
      <c r="K491">
        <v>975.02</v>
      </c>
      <c r="L491" t="s">
        <v>18</v>
      </c>
    </row>
    <row r="492" spans="1:12" x14ac:dyDescent="0.3">
      <c r="A492" t="s">
        <v>662</v>
      </c>
      <c r="B492" s="2">
        <v>46015.434869739467</v>
      </c>
      <c r="C492" t="s">
        <v>198</v>
      </c>
      <c r="D492" t="s">
        <v>61</v>
      </c>
      <c r="E492" t="s">
        <v>62</v>
      </c>
      <c r="F492" t="s">
        <v>40</v>
      </c>
      <c r="G492" t="s">
        <v>17</v>
      </c>
      <c r="H492">
        <v>9719.67</v>
      </c>
      <c r="I492">
        <v>5</v>
      </c>
      <c r="J492">
        <v>0.25</v>
      </c>
      <c r="K492">
        <v>1951.42</v>
      </c>
      <c r="L492" t="s">
        <v>31</v>
      </c>
    </row>
    <row r="493" spans="1:12" x14ac:dyDescent="0.3">
      <c r="A493" t="s">
        <v>663</v>
      </c>
      <c r="B493" s="2">
        <v>46016.164328657302</v>
      </c>
      <c r="C493" t="s">
        <v>432</v>
      </c>
      <c r="D493" t="s">
        <v>28</v>
      </c>
      <c r="E493" t="s">
        <v>29</v>
      </c>
      <c r="F493" t="s">
        <v>40</v>
      </c>
      <c r="G493" t="s">
        <v>17</v>
      </c>
      <c r="H493">
        <v>4801.09</v>
      </c>
      <c r="I493">
        <v>2</v>
      </c>
      <c r="J493">
        <v>0</v>
      </c>
      <c r="K493">
        <v>918.72</v>
      </c>
      <c r="L493" t="s">
        <v>31</v>
      </c>
    </row>
    <row r="494" spans="1:12" x14ac:dyDescent="0.3">
      <c r="A494" t="s">
        <v>664</v>
      </c>
      <c r="B494" s="2">
        <v>46016.893787575144</v>
      </c>
      <c r="C494" t="s">
        <v>172</v>
      </c>
      <c r="D494" t="s">
        <v>38</v>
      </c>
      <c r="E494" t="s">
        <v>39</v>
      </c>
      <c r="F494" t="s">
        <v>106</v>
      </c>
      <c r="G494" t="s">
        <v>35</v>
      </c>
      <c r="H494">
        <v>3261.34</v>
      </c>
      <c r="I494">
        <v>2</v>
      </c>
      <c r="J494">
        <v>0.1</v>
      </c>
      <c r="K494">
        <v>751.2</v>
      </c>
      <c r="L494" t="s">
        <v>31</v>
      </c>
    </row>
    <row r="495" spans="1:12" x14ac:dyDescent="0.3">
      <c r="A495" t="s">
        <v>665</v>
      </c>
      <c r="B495" s="2">
        <v>46017.623246492978</v>
      </c>
      <c r="C495" t="s">
        <v>188</v>
      </c>
      <c r="D495" t="s">
        <v>54</v>
      </c>
      <c r="E495" t="s">
        <v>55</v>
      </c>
      <c r="F495" t="s">
        <v>16</v>
      </c>
      <c r="G495" t="s">
        <v>17</v>
      </c>
      <c r="H495">
        <v>61154.51</v>
      </c>
      <c r="I495">
        <v>5</v>
      </c>
      <c r="J495">
        <v>0.05</v>
      </c>
      <c r="K495">
        <v>11672.41</v>
      </c>
      <c r="L495" t="s">
        <v>51</v>
      </c>
    </row>
    <row r="496" spans="1:12" x14ac:dyDescent="0.3">
      <c r="A496" t="s">
        <v>666</v>
      </c>
      <c r="B496" s="2">
        <v>46018.352705410813</v>
      </c>
      <c r="C496" t="s">
        <v>118</v>
      </c>
      <c r="D496" t="s">
        <v>49</v>
      </c>
      <c r="E496" t="s">
        <v>50</v>
      </c>
      <c r="F496" t="s">
        <v>30</v>
      </c>
      <c r="G496" t="s">
        <v>17</v>
      </c>
      <c r="H496">
        <v>73702.52</v>
      </c>
      <c r="I496">
        <v>3</v>
      </c>
      <c r="J496">
        <v>0.05</v>
      </c>
      <c r="K496">
        <v>8955.4599999999991</v>
      </c>
      <c r="L496" t="s">
        <v>68</v>
      </c>
    </row>
    <row r="497" spans="1:12" x14ac:dyDescent="0.3">
      <c r="A497" t="s">
        <v>667</v>
      </c>
      <c r="B497" s="2">
        <v>46019.082164328647</v>
      </c>
      <c r="C497" t="s">
        <v>67</v>
      </c>
      <c r="D497" t="s">
        <v>90</v>
      </c>
      <c r="E497" t="s">
        <v>44</v>
      </c>
      <c r="F497" t="s">
        <v>63</v>
      </c>
      <c r="G497" t="s">
        <v>17</v>
      </c>
      <c r="H497">
        <v>21002.78</v>
      </c>
      <c r="I497">
        <v>1</v>
      </c>
      <c r="J497">
        <v>0.1</v>
      </c>
      <c r="K497">
        <v>4874.43</v>
      </c>
      <c r="L497" t="s">
        <v>68</v>
      </c>
    </row>
    <row r="498" spans="1:12" x14ac:dyDescent="0.3">
      <c r="A498" t="s">
        <v>668</v>
      </c>
      <c r="B498" s="2">
        <v>46019.811623246482</v>
      </c>
      <c r="C498" t="s">
        <v>188</v>
      </c>
      <c r="D498" t="s">
        <v>43</v>
      </c>
      <c r="E498" t="s">
        <v>44</v>
      </c>
      <c r="F498" t="s">
        <v>30</v>
      </c>
      <c r="G498" t="s">
        <v>17</v>
      </c>
      <c r="H498">
        <v>134170.78</v>
      </c>
      <c r="I498">
        <v>5</v>
      </c>
      <c r="J498">
        <v>0.15</v>
      </c>
      <c r="K498">
        <v>11953.34</v>
      </c>
      <c r="L498" t="s">
        <v>18</v>
      </c>
    </row>
    <row r="499" spans="1:12" x14ac:dyDescent="0.3">
      <c r="A499" t="s">
        <v>669</v>
      </c>
      <c r="B499" s="2">
        <v>46020.541082164324</v>
      </c>
      <c r="C499" t="s">
        <v>103</v>
      </c>
      <c r="D499" t="s">
        <v>54</v>
      </c>
      <c r="E499" t="s">
        <v>55</v>
      </c>
      <c r="F499" t="s">
        <v>94</v>
      </c>
      <c r="G499" t="s">
        <v>46</v>
      </c>
      <c r="H499">
        <v>54159.63</v>
      </c>
      <c r="I499">
        <v>4</v>
      </c>
      <c r="J499">
        <v>0.1</v>
      </c>
      <c r="K499">
        <v>4877</v>
      </c>
      <c r="L499" t="s">
        <v>31</v>
      </c>
    </row>
    <row r="500" spans="1:12" x14ac:dyDescent="0.3">
      <c r="A500" t="s">
        <v>670</v>
      </c>
      <c r="B500" s="2">
        <v>46021.270541082173</v>
      </c>
      <c r="C500" t="s">
        <v>316</v>
      </c>
      <c r="D500" t="s">
        <v>54</v>
      </c>
      <c r="E500" t="s">
        <v>55</v>
      </c>
      <c r="F500" t="s">
        <v>94</v>
      </c>
      <c r="G500" t="s">
        <v>46</v>
      </c>
      <c r="H500">
        <v>13882.23</v>
      </c>
      <c r="I500">
        <v>1</v>
      </c>
      <c r="J500">
        <v>0.15</v>
      </c>
      <c r="K500">
        <v>1708.9</v>
      </c>
      <c r="L500" t="s">
        <v>68</v>
      </c>
    </row>
    <row r="501" spans="1:12" x14ac:dyDescent="0.3">
      <c r="A501" t="s">
        <v>671</v>
      </c>
      <c r="B501" s="2">
        <v>46022</v>
      </c>
      <c r="C501" t="s">
        <v>33</v>
      </c>
      <c r="D501" t="s">
        <v>38</v>
      </c>
      <c r="E501" t="s">
        <v>39</v>
      </c>
      <c r="F501" t="s">
        <v>94</v>
      </c>
      <c r="G501" t="s">
        <v>46</v>
      </c>
      <c r="H501">
        <v>38562.589999999997</v>
      </c>
      <c r="I501">
        <v>3</v>
      </c>
      <c r="J501">
        <v>0.05</v>
      </c>
      <c r="K501">
        <v>9266.17</v>
      </c>
      <c r="L50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8D9B-767B-4895-A4B2-6F40BF8304A3}">
  <dimension ref="A3:G17"/>
  <sheetViews>
    <sheetView workbookViewId="0">
      <selection activeCell="G17" sqref="G17"/>
    </sheetView>
  </sheetViews>
  <sheetFormatPr defaultRowHeight="14.4" x14ac:dyDescent="0.3"/>
  <cols>
    <col min="1" max="1" width="12.5546875" bestFit="1" customWidth="1"/>
    <col min="2" max="2" width="12" bestFit="1" customWidth="1"/>
    <col min="3" max="3" width="12.109375" bestFit="1" customWidth="1"/>
    <col min="4" max="4" width="15.88671875" bestFit="1" customWidth="1"/>
  </cols>
  <sheetData>
    <row r="3" spans="1:4" x14ac:dyDescent="0.3">
      <c r="A3" s="14" t="s">
        <v>688</v>
      </c>
      <c r="B3" t="s">
        <v>687</v>
      </c>
      <c r="C3" t="s">
        <v>690</v>
      </c>
      <c r="D3" t="s">
        <v>691</v>
      </c>
    </row>
    <row r="4" spans="1:4" x14ac:dyDescent="0.3">
      <c r="A4" s="17">
        <v>45658</v>
      </c>
      <c r="B4" s="13">
        <v>1714192.45</v>
      </c>
      <c r="C4" s="13">
        <v>334862.06999999995</v>
      </c>
      <c r="D4" s="13">
        <v>43</v>
      </c>
    </row>
    <row r="5" spans="1:4" x14ac:dyDescent="0.3">
      <c r="A5" s="17">
        <v>45689</v>
      </c>
      <c r="B5" s="13">
        <v>1244194.45</v>
      </c>
      <c r="C5" s="13">
        <v>234146.56999999995</v>
      </c>
      <c r="D5" s="13">
        <v>38</v>
      </c>
    </row>
    <row r="6" spans="1:4" x14ac:dyDescent="0.3">
      <c r="A6" s="17">
        <v>45717</v>
      </c>
      <c r="B6" s="13">
        <v>1427742.8100000003</v>
      </c>
      <c r="C6" s="13">
        <v>259752.33999999994</v>
      </c>
      <c r="D6" s="13">
        <v>43</v>
      </c>
    </row>
    <row r="7" spans="1:4" x14ac:dyDescent="0.3">
      <c r="A7" s="17">
        <v>45748</v>
      </c>
      <c r="B7" s="13">
        <v>1730809.9500000002</v>
      </c>
      <c r="C7" s="13">
        <v>348608.40000000014</v>
      </c>
      <c r="D7" s="13">
        <v>41</v>
      </c>
    </row>
    <row r="8" spans="1:4" x14ac:dyDescent="0.3">
      <c r="A8" s="17">
        <v>45778</v>
      </c>
      <c r="B8" s="13">
        <v>2189742.83</v>
      </c>
      <c r="C8" s="13">
        <v>394405.66999999993</v>
      </c>
      <c r="D8" s="13">
        <v>43</v>
      </c>
    </row>
    <row r="9" spans="1:4" x14ac:dyDescent="0.3">
      <c r="A9" s="17">
        <v>45809</v>
      </c>
      <c r="B9" s="13">
        <v>1112397.8799999999</v>
      </c>
      <c r="C9" s="13">
        <v>218721.74000000002</v>
      </c>
      <c r="D9" s="13">
        <v>41</v>
      </c>
    </row>
    <row r="10" spans="1:4" x14ac:dyDescent="0.3">
      <c r="A10" s="17">
        <v>45839</v>
      </c>
      <c r="B10" s="13">
        <v>1687159.0800000003</v>
      </c>
      <c r="C10" s="13">
        <v>283837.05000000005</v>
      </c>
      <c r="D10" s="13">
        <v>42</v>
      </c>
    </row>
    <row r="11" spans="1:4" x14ac:dyDescent="0.3">
      <c r="A11" s="17">
        <v>45870</v>
      </c>
      <c r="B11" s="13">
        <v>1262631.1799999997</v>
      </c>
      <c r="C11" s="13">
        <v>237703.89</v>
      </c>
      <c r="D11" s="13">
        <v>43</v>
      </c>
    </row>
    <row r="12" spans="1:4" x14ac:dyDescent="0.3">
      <c r="A12" s="17">
        <v>45901</v>
      </c>
      <c r="B12" s="13">
        <v>963699.98000000021</v>
      </c>
      <c r="C12" s="13">
        <v>173122.69000000006</v>
      </c>
      <c r="D12" s="13">
        <v>41</v>
      </c>
    </row>
    <row r="13" spans="1:4" x14ac:dyDescent="0.3">
      <c r="A13" s="17">
        <v>45931</v>
      </c>
      <c r="B13" s="13">
        <v>1129900.4000000001</v>
      </c>
      <c r="C13" s="13">
        <v>194532.42000000004</v>
      </c>
      <c r="D13" s="13">
        <v>42</v>
      </c>
    </row>
    <row r="14" spans="1:4" x14ac:dyDescent="0.3">
      <c r="A14" s="17">
        <v>45962</v>
      </c>
      <c r="B14" s="13">
        <v>1621642.13</v>
      </c>
      <c r="C14" s="13">
        <v>323728.09000000008</v>
      </c>
      <c r="D14" s="13">
        <v>41</v>
      </c>
    </row>
    <row r="15" spans="1:4" x14ac:dyDescent="0.3">
      <c r="A15" s="17">
        <v>45992</v>
      </c>
      <c r="B15" s="13">
        <v>1473823.3499999999</v>
      </c>
      <c r="C15" s="13">
        <v>227977.38999999998</v>
      </c>
      <c r="D15" s="13">
        <v>42</v>
      </c>
    </row>
    <row r="16" spans="1:4" x14ac:dyDescent="0.3">
      <c r="A16" s="15" t="s">
        <v>689</v>
      </c>
      <c r="B16" s="13">
        <v>17557936.49000001</v>
      </c>
      <c r="C16" s="13">
        <v>3231398.319999998</v>
      </c>
      <c r="D16" s="13">
        <v>500</v>
      </c>
    </row>
    <row r="17" spans="7:7" x14ac:dyDescent="0.3">
      <c r="G17"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E0B5-7822-4D93-884C-693568D728CC}">
  <dimension ref="A3:B8"/>
  <sheetViews>
    <sheetView workbookViewId="0">
      <selection activeCell="A4" sqref="A4:B7"/>
    </sheetView>
  </sheetViews>
  <sheetFormatPr defaultRowHeight="14.4" x14ac:dyDescent="0.3"/>
  <cols>
    <col min="1" max="1" width="13.109375" bestFit="1" customWidth="1"/>
    <col min="2" max="3" width="12.109375" bestFit="1" customWidth="1"/>
    <col min="4" max="4" width="14.88671875" bestFit="1" customWidth="1"/>
  </cols>
  <sheetData>
    <row r="3" spans="1:2" x14ac:dyDescent="0.3">
      <c r="A3" s="14" t="s">
        <v>688</v>
      </c>
      <c r="B3" t="s">
        <v>690</v>
      </c>
    </row>
    <row r="4" spans="1:2" x14ac:dyDescent="0.3">
      <c r="A4" s="15" t="s">
        <v>35</v>
      </c>
      <c r="B4" s="13">
        <v>95943.01</v>
      </c>
    </row>
    <row r="5" spans="1:2" x14ac:dyDescent="0.3">
      <c r="A5" s="15" t="s">
        <v>17</v>
      </c>
      <c r="B5" s="13">
        <v>2298256.8500000006</v>
      </c>
    </row>
    <row r="6" spans="1:2" x14ac:dyDescent="0.3">
      <c r="A6" s="15" t="s">
        <v>24</v>
      </c>
      <c r="B6" s="13">
        <v>408219.80000000016</v>
      </c>
    </row>
    <row r="7" spans="1:2" x14ac:dyDescent="0.3">
      <c r="A7" s="15" t="s">
        <v>46</v>
      </c>
      <c r="B7" s="13">
        <v>428978.66000000009</v>
      </c>
    </row>
    <row r="8" spans="1:2" x14ac:dyDescent="0.3">
      <c r="A8" s="15" t="s">
        <v>689</v>
      </c>
      <c r="B8" s="13">
        <v>3231398.3200000008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CC83-921F-4F65-877F-F1C9A71BB533}">
  <dimension ref="A3:B14"/>
  <sheetViews>
    <sheetView workbookViewId="0">
      <selection activeCell="A3" sqref="A3:B13"/>
    </sheetView>
  </sheetViews>
  <sheetFormatPr defaultRowHeight="14.4" x14ac:dyDescent="0.3"/>
  <cols>
    <col min="1" max="1" width="12.5546875" bestFit="1" customWidth="1"/>
    <col min="2" max="2" width="12" bestFit="1" customWidth="1"/>
    <col min="3" max="4" width="14.88671875" bestFit="1" customWidth="1"/>
  </cols>
  <sheetData>
    <row r="3" spans="1:2" x14ac:dyDescent="0.3">
      <c r="A3" s="14" t="s">
        <v>688</v>
      </c>
      <c r="B3" t="s">
        <v>687</v>
      </c>
    </row>
    <row r="4" spans="1:2" x14ac:dyDescent="0.3">
      <c r="A4" s="15" t="s">
        <v>87</v>
      </c>
      <c r="B4" s="13">
        <v>4403293.9399999995</v>
      </c>
    </row>
    <row r="5" spans="1:2" x14ac:dyDescent="0.3">
      <c r="A5" s="15" t="s">
        <v>30</v>
      </c>
      <c r="B5" s="13">
        <v>3134954.6900000004</v>
      </c>
    </row>
    <row r="6" spans="1:2" x14ac:dyDescent="0.3">
      <c r="A6" s="15" t="s">
        <v>63</v>
      </c>
      <c r="B6" s="13">
        <v>2288679.1399999997</v>
      </c>
    </row>
    <row r="7" spans="1:2" x14ac:dyDescent="0.3">
      <c r="A7" s="15" t="s">
        <v>94</v>
      </c>
      <c r="B7" s="13">
        <v>2261542.4499999997</v>
      </c>
    </row>
    <row r="8" spans="1:2" x14ac:dyDescent="0.3">
      <c r="A8" s="15" t="s">
        <v>16</v>
      </c>
      <c r="B8" s="13">
        <v>2177998.59</v>
      </c>
    </row>
    <row r="9" spans="1:2" x14ac:dyDescent="0.3">
      <c r="A9" s="15" t="s">
        <v>23</v>
      </c>
      <c r="B9" s="13">
        <v>1477105.4300000004</v>
      </c>
    </row>
    <row r="10" spans="1:2" x14ac:dyDescent="0.3">
      <c r="A10" s="15" t="s">
        <v>75</v>
      </c>
      <c r="B10" s="13">
        <v>911375.98</v>
      </c>
    </row>
    <row r="11" spans="1:2" x14ac:dyDescent="0.3">
      <c r="A11" s="15" t="s">
        <v>40</v>
      </c>
      <c r="B11" s="13">
        <v>366512.82</v>
      </c>
    </row>
    <row r="12" spans="1:2" x14ac:dyDescent="0.3">
      <c r="A12" s="15" t="s">
        <v>106</v>
      </c>
      <c r="B12" s="13">
        <v>256848.36</v>
      </c>
    </row>
    <row r="13" spans="1:2" x14ac:dyDescent="0.3">
      <c r="A13" s="15" t="s">
        <v>34</v>
      </c>
      <c r="B13" s="13">
        <v>164309.67000000001</v>
      </c>
    </row>
    <row r="14" spans="1:2" x14ac:dyDescent="0.3">
      <c r="A14" s="15" t="s">
        <v>689</v>
      </c>
      <c r="B14" s="13">
        <v>17442621.07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78C4-1C5C-4D4C-9D21-3589AA87267E}">
  <dimension ref="A3:B14"/>
  <sheetViews>
    <sheetView workbookViewId="0">
      <selection activeCell="A3" sqref="A3:B13"/>
    </sheetView>
  </sheetViews>
  <sheetFormatPr defaultRowHeight="14.4" x14ac:dyDescent="0.3"/>
  <cols>
    <col min="1" max="1" width="14.5546875" bestFit="1" customWidth="1"/>
    <col min="2" max="2" width="12" bestFit="1" customWidth="1"/>
    <col min="3" max="4" width="15.88671875" bestFit="1" customWidth="1"/>
  </cols>
  <sheetData>
    <row r="3" spans="1:2" x14ac:dyDescent="0.3">
      <c r="A3" s="14" t="s">
        <v>688</v>
      </c>
      <c r="B3" t="s">
        <v>687</v>
      </c>
    </row>
    <row r="4" spans="1:2" x14ac:dyDescent="0.3">
      <c r="A4" s="15" t="s">
        <v>114</v>
      </c>
      <c r="B4" s="13">
        <v>1690873.4799999997</v>
      </c>
    </row>
    <row r="5" spans="1:2" x14ac:dyDescent="0.3">
      <c r="A5" s="15" t="s">
        <v>15</v>
      </c>
      <c r="B5" s="13">
        <v>1186025.3699999999</v>
      </c>
    </row>
    <row r="6" spans="1:2" x14ac:dyDescent="0.3">
      <c r="A6" s="15" t="s">
        <v>50</v>
      </c>
      <c r="B6" s="13">
        <v>2099077.9900000002</v>
      </c>
    </row>
    <row r="7" spans="1:2" x14ac:dyDescent="0.3">
      <c r="A7" s="15" t="s">
        <v>44</v>
      </c>
      <c r="B7" s="13">
        <v>2267761.9400000004</v>
      </c>
    </row>
    <row r="8" spans="1:2" x14ac:dyDescent="0.3">
      <c r="A8" s="15" t="s">
        <v>55</v>
      </c>
      <c r="B8" s="13">
        <v>2836569.1199999987</v>
      </c>
    </row>
    <row r="9" spans="1:2" x14ac:dyDescent="0.3">
      <c r="A9" s="15" t="s">
        <v>29</v>
      </c>
      <c r="B9" s="13">
        <v>1171051.0100000005</v>
      </c>
    </row>
    <row r="10" spans="1:2" x14ac:dyDescent="0.3">
      <c r="A10" s="15" t="s">
        <v>22</v>
      </c>
      <c r="B10" s="13">
        <v>1181840.53</v>
      </c>
    </row>
    <row r="11" spans="1:2" x14ac:dyDescent="0.3">
      <c r="A11" s="15" t="s">
        <v>39</v>
      </c>
      <c r="B11" s="13">
        <v>2054752.51</v>
      </c>
    </row>
    <row r="12" spans="1:2" x14ac:dyDescent="0.3">
      <c r="A12" s="15" t="s">
        <v>74</v>
      </c>
      <c r="B12" s="13">
        <v>1698000.37</v>
      </c>
    </row>
    <row r="13" spans="1:2" x14ac:dyDescent="0.3">
      <c r="A13" s="15" t="s">
        <v>62</v>
      </c>
      <c r="B13" s="13">
        <v>1371984.17</v>
      </c>
    </row>
    <row r="14" spans="1:2" x14ac:dyDescent="0.3">
      <c r="A14" s="15" t="s">
        <v>689</v>
      </c>
      <c r="B14" s="13">
        <v>17557936.489999995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07C0-6AFC-49B0-94C3-9A65E4738672}">
  <dimension ref="A3:B9"/>
  <sheetViews>
    <sheetView workbookViewId="0">
      <selection activeCell="G29" sqref="G29"/>
    </sheetView>
  </sheetViews>
  <sheetFormatPr defaultRowHeight="14.4" x14ac:dyDescent="0.3"/>
  <cols>
    <col min="1" max="1" width="12.5546875" bestFit="1" customWidth="1"/>
    <col min="2" max="2" width="12" bestFit="1" customWidth="1"/>
    <col min="3" max="3" width="15.88671875" bestFit="1" customWidth="1"/>
  </cols>
  <sheetData>
    <row r="3" spans="1:2" x14ac:dyDescent="0.3">
      <c r="A3" s="14" t="s">
        <v>688</v>
      </c>
      <c r="B3" t="s">
        <v>687</v>
      </c>
    </row>
    <row r="4" spans="1:2" x14ac:dyDescent="0.3">
      <c r="A4" s="15" t="s">
        <v>25</v>
      </c>
      <c r="B4" s="13">
        <v>3855465.84</v>
      </c>
    </row>
    <row r="5" spans="1:2" x14ac:dyDescent="0.3">
      <c r="A5" s="15" t="s">
        <v>51</v>
      </c>
      <c r="B5" s="13">
        <v>3655034.8800000008</v>
      </c>
    </row>
    <row r="6" spans="1:2" x14ac:dyDescent="0.3">
      <c r="A6" s="15" t="s">
        <v>18</v>
      </c>
      <c r="B6" s="13">
        <v>3152191.1299999994</v>
      </c>
    </row>
    <row r="7" spans="1:2" x14ac:dyDescent="0.3">
      <c r="A7" s="15" t="s">
        <v>68</v>
      </c>
      <c r="B7" s="13">
        <v>3608827.9899999998</v>
      </c>
    </row>
    <row r="8" spans="1:2" x14ac:dyDescent="0.3">
      <c r="A8" s="15" t="s">
        <v>31</v>
      </c>
      <c r="B8" s="13">
        <v>3286416.6500000013</v>
      </c>
    </row>
    <row r="9" spans="1:2" x14ac:dyDescent="0.3">
      <c r="A9" s="15" t="s">
        <v>689</v>
      </c>
      <c r="B9" s="13">
        <v>17557936.490000002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E351-6903-458E-9E0B-CB5A57BD3BE2}">
  <dimension ref="A3:D10"/>
  <sheetViews>
    <sheetView workbookViewId="0">
      <selection activeCell="J27" sqref="J27"/>
    </sheetView>
  </sheetViews>
  <sheetFormatPr defaultRowHeight="14.4" x14ac:dyDescent="0.3"/>
  <cols>
    <col min="1" max="1" width="12.5546875" bestFit="1" customWidth="1"/>
    <col min="2" max="2" width="12" bestFit="1" customWidth="1"/>
    <col min="3" max="3" width="12.109375" bestFit="1" customWidth="1"/>
    <col min="4" max="4" width="15.88671875" bestFit="1" customWidth="1"/>
  </cols>
  <sheetData>
    <row r="3" spans="1:4" x14ac:dyDescent="0.3">
      <c r="A3" s="14" t="s">
        <v>688</v>
      </c>
      <c r="B3" t="s">
        <v>687</v>
      </c>
      <c r="C3" t="s">
        <v>690</v>
      </c>
      <c r="D3" t="s">
        <v>691</v>
      </c>
    </row>
    <row r="4" spans="1:4" x14ac:dyDescent="0.3">
      <c r="A4" s="18">
        <v>0</v>
      </c>
      <c r="B4" s="13">
        <v>4609130.07</v>
      </c>
      <c r="C4" s="13">
        <v>883618.39</v>
      </c>
      <c r="D4" s="13">
        <v>122</v>
      </c>
    </row>
    <row r="5" spans="1:4" x14ac:dyDescent="0.3">
      <c r="A5" s="18">
        <v>0.05</v>
      </c>
      <c r="B5" s="13">
        <v>4370663.3400000008</v>
      </c>
      <c r="C5" s="13">
        <v>778153.00999999966</v>
      </c>
      <c r="D5" s="13">
        <v>129</v>
      </c>
    </row>
    <row r="6" spans="1:4" x14ac:dyDescent="0.3">
      <c r="A6" s="18">
        <v>0.1</v>
      </c>
      <c r="B6" s="13">
        <v>4685049.1199999982</v>
      </c>
      <c r="C6" s="13">
        <v>871005.94999999984</v>
      </c>
      <c r="D6" s="13">
        <v>125</v>
      </c>
    </row>
    <row r="7" spans="1:4" x14ac:dyDescent="0.3">
      <c r="A7" s="18">
        <v>0.15</v>
      </c>
      <c r="B7" s="13">
        <v>2873250.0399999996</v>
      </c>
      <c r="C7" s="13">
        <v>510325.08</v>
      </c>
      <c r="D7" s="13">
        <v>77</v>
      </c>
    </row>
    <row r="8" spans="1:4" x14ac:dyDescent="0.3">
      <c r="A8" s="18">
        <v>0.2</v>
      </c>
      <c r="B8" s="13">
        <v>1010124.25</v>
      </c>
      <c r="C8" s="13">
        <v>186344.47000000003</v>
      </c>
      <c r="D8" s="13">
        <v>46</v>
      </c>
    </row>
    <row r="9" spans="1:4" x14ac:dyDescent="0.3">
      <c r="A9" s="18">
        <v>0.25</v>
      </c>
      <c r="B9" s="13">
        <v>9719.67</v>
      </c>
      <c r="C9" s="13">
        <v>1951.42</v>
      </c>
      <c r="D9" s="13">
        <v>1</v>
      </c>
    </row>
    <row r="10" spans="1:4" x14ac:dyDescent="0.3">
      <c r="A10" s="18" t="s">
        <v>689</v>
      </c>
      <c r="B10" s="13">
        <v>17557936.489999998</v>
      </c>
      <c r="C10" s="13">
        <v>3231398.319999998</v>
      </c>
      <c r="D10" s="13">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CEAD-C606-47AB-A8DA-53ADCB9923F0}">
  <dimension ref="A3:B16"/>
  <sheetViews>
    <sheetView workbookViewId="0">
      <selection activeCell="A4" sqref="A4:B15"/>
    </sheetView>
  </sheetViews>
  <sheetFormatPr defaultRowHeight="14.4" x14ac:dyDescent="0.3"/>
  <cols>
    <col min="1" max="1" width="12.5546875" bestFit="1" customWidth="1"/>
    <col min="2" max="2" width="12" bestFit="1" customWidth="1"/>
  </cols>
  <sheetData>
    <row r="3" spans="1:2" x14ac:dyDescent="0.3">
      <c r="A3" s="14" t="s">
        <v>688</v>
      </c>
      <c r="B3" t="s">
        <v>687</v>
      </c>
    </row>
    <row r="4" spans="1:2" x14ac:dyDescent="0.3">
      <c r="A4" s="17">
        <v>45658</v>
      </c>
      <c r="B4" s="13">
        <v>1714192.45</v>
      </c>
    </row>
    <row r="5" spans="1:2" x14ac:dyDescent="0.3">
      <c r="A5" s="17">
        <v>45689</v>
      </c>
      <c r="B5" s="13">
        <v>1244194.45</v>
      </c>
    </row>
    <row r="6" spans="1:2" x14ac:dyDescent="0.3">
      <c r="A6" s="17">
        <v>45717</v>
      </c>
      <c r="B6" s="13">
        <v>1427742.8100000003</v>
      </c>
    </row>
    <row r="7" spans="1:2" x14ac:dyDescent="0.3">
      <c r="A7" s="17">
        <v>45748</v>
      </c>
      <c r="B7" s="13">
        <v>1730809.9500000002</v>
      </c>
    </row>
    <row r="8" spans="1:2" x14ac:dyDescent="0.3">
      <c r="A8" s="17">
        <v>45778</v>
      </c>
      <c r="B8" s="13">
        <v>2189742.83</v>
      </c>
    </row>
    <row r="9" spans="1:2" x14ac:dyDescent="0.3">
      <c r="A9" s="17">
        <v>45809</v>
      </c>
      <c r="B9" s="13">
        <v>1112397.8799999999</v>
      </c>
    </row>
    <row r="10" spans="1:2" x14ac:dyDescent="0.3">
      <c r="A10" s="17">
        <v>45839</v>
      </c>
      <c r="B10" s="13">
        <v>1687159.0800000003</v>
      </c>
    </row>
    <row r="11" spans="1:2" x14ac:dyDescent="0.3">
      <c r="A11" s="17">
        <v>45870</v>
      </c>
      <c r="B11" s="13">
        <v>1262631.1799999997</v>
      </c>
    </row>
    <row r="12" spans="1:2" x14ac:dyDescent="0.3">
      <c r="A12" s="17">
        <v>45901</v>
      </c>
      <c r="B12" s="13">
        <v>963699.98000000021</v>
      </c>
    </row>
    <row r="13" spans="1:2" x14ac:dyDescent="0.3">
      <c r="A13" s="17">
        <v>45931</v>
      </c>
      <c r="B13" s="13">
        <v>1129900.4000000001</v>
      </c>
    </row>
    <row r="14" spans="1:2" x14ac:dyDescent="0.3">
      <c r="A14" s="17">
        <v>45962</v>
      </c>
      <c r="B14" s="13">
        <v>1621642.13</v>
      </c>
    </row>
    <row r="15" spans="1:2" x14ac:dyDescent="0.3">
      <c r="A15" s="17">
        <v>45992</v>
      </c>
      <c r="B15" s="13">
        <v>1473823.3499999999</v>
      </c>
    </row>
    <row r="16" spans="1:2" x14ac:dyDescent="0.3">
      <c r="A16" s="15" t="s">
        <v>689</v>
      </c>
      <c r="B16" s="13">
        <v>17557936.490000002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opLeftCell="A2" workbookViewId="0">
      <selection activeCell="A2" sqref="A2"/>
    </sheetView>
  </sheetViews>
  <sheetFormatPr defaultRowHeight="14.4" x14ac:dyDescent="0.3"/>
  <cols>
    <col min="1" max="1" width="10.33203125" bestFit="1" customWidth="1"/>
    <col min="2" max="2" width="18.109375" style="3" bestFit="1" customWidth="1"/>
    <col min="3" max="3" width="22.6640625" customWidth="1"/>
    <col min="4" max="4" width="11.77734375" customWidth="1"/>
    <col min="5" max="5" width="14.5546875" bestFit="1" customWidth="1"/>
    <col min="6" max="6" width="15.21875" customWidth="1"/>
    <col min="7" max="7" width="16.109375" customWidth="1"/>
    <col min="8" max="8" width="11.44140625" style="4" bestFit="1" customWidth="1"/>
    <col min="9" max="9" width="12.77734375" bestFit="1" customWidth="1"/>
    <col min="10" max="10" width="12.77734375" style="5" bestFit="1" customWidth="1"/>
    <col min="11" max="11" width="10.109375" bestFit="1" customWidth="1"/>
    <col min="12" max="12" width="22.109375" customWidth="1"/>
    <col min="13" max="13" width="10.33203125" bestFit="1" customWidth="1"/>
  </cols>
  <sheetData>
    <row r="1" spans="1:13" x14ac:dyDescent="0.3">
      <c r="A1" s="6" t="s">
        <v>0</v>
      </c>
      <c r="B1" s="7" t="s">
        <v>1</v>
      </c>
      <c r="C1" s="12" t="s">
        <v>682</v>
      </c>
      <c r="D1" s="12" t="s">
        <v>3</v>
      </c>
      <c r="E1" s="12" t="s">
        <v>4</v>
      </c>
      <c r="F1" s="12" t="s">
        <v>5</v>
      </c>
      <c r="G1" s="12" t="s">
        <v>6</v>
      </c>
      <c r="H1" s="8" t="s">
        <v>7</v>
      </c>
      <c r="I1" s="6" t="s">
        <v>8</v>
      </c>
      <c r="J1" s="9" t="s">
        <v>9</v>
      </c>
      <c r="K1" s="6" t="s">
        <v>10</v>
      </c>
      <c r="L1" s="12" t="s">
        <v>683</v>
      </c>
      <c r="M1" s="12" t="s">
        <v>685</v>
      </c>
    </row>
    <row r="2" spans="1:13" x14ac:dyDescent="0.3">
      <c r="A2" t="s">
        <v>12</v>
      </c>
      <c r="B2" s="3">
        <v>45658</v>
      </c>
      <c r="C2" t="s">
        <v>13</v>
      </c>
      <c r="D2" t="s">
        <v>14</v>
      </c>
      <c r="E2" t="s">
        <v>15</v>
      </c>
      <c r="F2" t="s">
        <v>16</v>
      </c>
      <c r="G2" t="s">
        <v>17</v>
      </c>
      <c r="H2" s="4">
        <v>53849.31</v>
      </c>
      <c r="I2">
        <v>5</v>
      </c>
      <c r="J2" s="5">
        <v>0.15</v>
      </c>
      <c r="K2">
        <v>10735.94</v>
      </c>
      <c r="L2" t="s">
        <v>18</v>
      </c>
      <c r="M2" s="16">
        <f t="shared" ref="M2:M65" si="0">DATE(YEAR(B2),MONTH(B2),1)</f>
        <v>45658</v>
      </c>
    </row>
    <row r="3" spans="1:13" x14ac:dyDescent="0.3">
      <c r="A3" t="s">
        <v>19</v>
      </c>
      <c r="B3" s="3">
        <v>45658.729458917827</v>
      </c>
      <c r="C3" t="s">
        <v>20</v>
      </c>
      <c r="D3" t="s">
        <v>21</v>
      </c>
      <c r="E3" t="s">
        <v>22</v>
      </c>
      <c r="F3" t="s">
        <v>23</v>
      </c>
      <c r="G3" t="s">
        <v>24</v>
      </c>
      <c r="H3" s="4">
        <v>55638.06</v>
      </c>
      <c r="I3">
        <v>5</v>
      </c>
      <c r="J3" s="5">
        <v>0.1</v>
      </c>
      <c r="K3">
        <v>4680.1000000000004</v>
      </c>
      <c r="L3" t="s">
        <v>25</v>
      </c>
      <c r="M3" s="16">
        <f t="shared" si="0"/>
        <v>45658</v>
      </c>
    </row>
    <row r="4" spans="1:13" x14ac:dyDescent="0.3">
      <c r="A4" t="s">
        <v>26</v>
      </c>
      <c r="B4" s="3">
        <v>45659.458917835669</v>
      </c>
      <c r="C4" t="s">
        <v>27</v>
      </c>
      <c r="D4" t="s">
        <v>28</v>
      </c>
      <c r="E4" t="s">
        <v>29</v>
      </c>
      <c r="F4" t="s">
        <v>30</v>
      </c>
      <c r="G4" t="s">
        <v>17</v>
      </c>
      <c r="H4" s="4">
        <v>103172.43</v>
      </c>
      <c r="I4">
        <v>4</v>
      </c>
      <c r="J4" s="5">
        <v>0.05</v>
      </c>
      <c r="K4">
        <v>19081.87</v>
      </c>
      <c r="L4" t="s">
        <v>31</v>
      </c>
      <c r="M4" s="16">
        <f t="shared" si="0"/>
        <v>45658</v>
      </c>
    </row>
    <row r="5" spans="1:13" x14ac:dyDescent="0.3">
      <c r="A5" t="s">
        <v>32</v>
      </c>
      <c r="B5" s="3">
        <v>45660.188376753496</v>
      </c>
      <c r="C5" t="s">
        <v>33</v>
      </c>
      <c r="D5" t="s">
        <v>21</v>
      </c>
      <c r="E5" t="s">
        <v>22</v>
      </c>
      <c r="F5" t="s">
        <v>34</v>
      </c>
      <c r="G5" t="s">
        <v>35</v>
      </c>
      <c r="H5" s="4">
        <v>2488.3200000000002</v>
      </c>
      <c r="I5">
        <v>2</v>
      </c>
      <c r="J5" s="5">
        <v>0.2</v>
      </c>
      <c r="K5">
        <v>314.91000000000003</v>
      </c>
      <c r="L5" t="s">
        <v>25</v>
      </c>
      <c r="M5" s="16">
        <f t="shared" si="0"/>
        <v>45658</v>
      </c>
    </row>
    <row r="6" spans="1:13" x14ac:dyDescent="0.3">
      <c r="A6" t="s">
        <v>36</v>
      </c>
      <c r="B6" s="3">
        <v>45660.917835671353</v>
      </c>
      <c r="C6" t="s">
        <v>37</v>
      </c>
      <c r="D6" t="s">
        <v>38</v>
      </c>
      <c r="E6" t="s">
        <v>39</v>
      </c>
      <c r="F6" t="s">
        <v>40</v>
      </c>
      <c r="G6" t="s">
        <v>17</v>
      </c>
      <c r="H6" s="4">
        <v>12903.29</v>
      </c>
      <c r="I6">
        <v>5</v>
      </c>
      <c r="J6" s="5">
        <v>0</v>
      </c>
      <c r="K6">
        <v>1200.1400000000001</v>
      </c>
      <c r="L6" t="s">
        <v>25</v>
      </c>
      <c r="M6" s="16">
        <f t="shared" si="0"/>
        <v>45658</v>
      </c>
    </row>
    <row r="7" spans="1:13" x14ac:dyDescent="0.3">
      <c r="A7" t="s">
        <v>41</v>
      </c>
      <c r="B7" s="3">
        <v>45661.64729458918</v>
      </c>
      <c r="C7" t="s">
        <v>42</v>
      </c>
      <c r="D7" t="s">
        <v>43</v>
      </c>
      <c r="E7" t="s">
        <v>44</v>
      </c>
      <c r="F7" t="s">
        <v>45</v>
      </c>
      <c r="G7" t="s">
        <v>46</v>
      </c>
      <c r="H7" s="4">
        <v>213.7</v>
      </c>
      <c r="I7">
        <v>1</v>
      </c>
      <c r="J7" s="5">
        <v>0</v>
      </c>
      <c r="K7">
        <v>27.4</v>
      </c>
      <c r="L7" t="s">
        <v>25</v>
      </c>
      <c r="M7" s="16">
        <f t="shared" si="0"/>
        <v>45658</v>
      </c>
    </row>
    <row r="8" spans="1:13" x14ac:dyDescent="0.3">
      <c r="A8" t="s">
        <v>47</v>
      </c>
      <c r="B8" s="3">
        <v>45662.376753507007</v>
      </c>
      <c r="C8" t="s">
        <v>48</v>
      </c>
      <c r="D8" t="s">
        <v>49</v>
      </c>
      <c r="E8" t="s">
        <v>50</v>
      </c>
      <c r="F8" t="s">
        <v>40</v>
      </c>
      <c r="G8" t="s">
        <v>17</v>
      </c>
      <c r="H8" s="4">
        <v>2087.17</v>
      </c>
      <c r="I8">
        <v>1</v>
      </c>
      <c r="J8" s="5">
        <v>0.1</v>
      </c>
      <c r="K8">
        <v>297.08999999999997</v>
      </c>
      <c r="L8" t="s">
        <v>51</v>
      </c>
      <c r="M8" s="16">
        <f t="shared" si="0"/>
        <v>45658</v>
      </c>
    </row>
    <row r="9" spans="1:13" x14ac:dyDescent="0.3">
      <c r="A9" t="s">
        <v>52</v>
      </c>
      <c r="B9" s="3">
        <v>45663.106212424849</v>
      </c>
      <c r="C9" t="s">
        <v>53</v>
      </c>
      <c r="D9" t="s">
        <v>54</v>
      </c>
      <c r="E9" t="s">
        <v>55</v>
      </c>
      <c r="F9" t="s">
        <v>56</v>
      </c>
      <c r="G9" t="s">
        <v>35</v>
      </c>
      <c r="H9" s="4">
        <v>4363.8500000000004</v>
      </c>
      <c r="I9">
        <v>5</v>
      </c>
      <c r="J9" s="5">
        <v>0.15</v>
      </c>
      <c r="K9">
        <v>1169.07</v>
      </c>
      <c r="L9" t="s">
        <v>25</v>
      </c>
      <c r="M9" s="16">
        <f t="shared" si="0"/>
        <v>45658</v>
      </c>
    </row>
    <row r="10" spans="1:13" x14ac:dyDescent="0.3">
      <c r="A10" t="s">
        <v>57</v>
      </c>
      <c r="B10" s="3">
        <v>45663.835671342677</v>
      </c>
      <c r="C10" t="s">
        <v>58</v>
      </c>
      <c r="D10" t="s">
        <v>38</v>
      </c>
      <c r="E10" t="s">
        <v>39</v>
      </c>
      <c r="F10" t="s">
        <v>23</v>
      </c>
      <c r="G10" t="s">
        <v>24</v>
      </c>
      <c r="H10" s="4">
        <v>55096.38</v>
      </c>
      <c r="I10">
        <v>5</v>
      </c>
      <c r="J10" s="5">
        <v>0.05</v>
      </c>
      <c r="K10">
        <v>13539.8</v>
      </c>
      <c r="L10" t="s">
        <v>25</v>
      </c>
      <c r="M10" s="16">
        <f t="shared" si="0"/>
        <v>45658</v>
      </c>
    </row>
    <row r="11" spans="1:13" x14ac:dyDescent="0.3">
      <c r="A11" t="s">
        <v>59</v>
      </c>
      <c r="B11" s="3">
        <v>45664.565130260518</v>
      </c>
      <c r="C11" t="s">
        <v>60</v>
      </c>
      <c r="D11" t="s">
        <v>61</v>
      </c>
      <c r="E11" t="s">
        <v>62</v>
      </c>
      <c r="F11" t="s">
        <v>63</v>
      </c>
      <c r="G11" t="s">
        <v>17</v>
      </c>
      <c r="H11" s="4">
        <v>83427.92</v>
      </c>
      <c r="I11">
        <v>5</v>
      </c>
      <c r="J11" s="5">
        <v>0.15</v>
      </c>
      <c r="K11">
        <v>7918.15</v>
      </c>
      <c r="L11" t="s">
        <v>31</v>
      </c>
      <c r="M11" s="16">
        <f t="shared" si="0"/>
        <v>45658</v>
      </c>
    </row>
    <row r="12" spans="1:13" x14ac:dyDescent="0.3">
      <c r="A12" t="s">
        <v>64</v>
      </c>
      <c r="B12" s="3">
        <v>45665.294589178353</v>
      </c>
      <c r="C12" t="s">
        <v>65</v>
      </c>
      <c r="D12" t="s">
        <v>61</v>
      </c>
      <c r="E12" t="s">
        <v>62</v>
      </c>
      <c r="F12" t="s">
        <v>23</v>
      </c>
      <c r="G12" t="s">
        <v>24</v>
      </c>
      <c r="H12" s="4">
        <v>29472.75</v>
      </c>
      <c r="I12">
        <v>3</v>
      </c>
      <c r="J12" s="5">
        <v>0.1</v>
      </c>
      <c r="K12">
        <v>7015.55</v>
      </c>
      <c r="L12" t="s">
        <v>51</v>
      </c>
      <c r="M12" s="16">
        <f t="shared" si="0"/>
        <v>45658</v>
      </c>
    </row>
    <row r="13" spans="1:13" x14ac:dyDescent="0.3">
      <c r="A13" t="s">
        <v>66</v>
      </c>
      <c r="B13" s="3">
        <v>45666.024048096187</v>
      </c>
      <c r="C13" t="s">
        <v>67</v>
      </c>
      <c r="D13" t="s">
        <v>14</v>
      </c>
      <c r="E13" t="s">
        <v>15</v>
      </c>
      <c r="F13" t="s">
        <v>45</v>
      </c>
      <c r="G13" t="s">
        <v>46</v>
      </c>
      <c r="H13" s="4">
        <v>238.95</v>
      </c>
      <c r="I13">
        <v>1</v>
      </c>
      <c r="J13" s="5">
        <v>0.15</v>
      </c>
      <c r="K13">
        <v>40.6</v>
      </c>
      <c r="L13" t="s">
        <v>68</v>
      </c>
      <c r="M13" s="16">
        <f t="shared" si="0"/>
        <v>45658</v>
      </c>
    </row>
    <row r="14" spans="1:13" x14ac:dyDescent="0.3">
      <c r="A14" t="s">
        <v>69</v>
      </c>
      <c r="B14" s="3">
        <v>45666.753507014029</v>
      </c>
      <c r="C14" t="s">
        <v>70</v>
      </c>
      <c r="D14" t="s">
        <v>71</v>
      </c>
      <c r="E14" t="s">
        <v>55</v>
      </c>
      <c r="F14" t="s">
        <v>63</v>
      </c>
      <c r="G14" t="s">
        <v>17</v>
      </c>
      <c r="H14" s="4">
        <v>63851.99</v>
      </c>
      <c r="I14">
        <v>3</v>
      </c>
      <c r="J14" s="5">
        <v>0.05</v>
      </c>
      <c r="K14">
        <v>17517.310000000001</v>
      </c>
      <c r="L14" t="s">
        <v>68</v>
      </c>
      <c r="M14" s="16">
        <f t="shared" si="0"/>
        <v>45658</v>
      </c>
    </row>
    <row r="15" spans="1:13" x14ac:dyDescent="0.3">
      <c r="A15" t="s">
        <v>72</v>
      </c>
      <c r="B15" s="3">
        <v>45667.482965931857</v>
      </c>
      <c r="C15" t="s">
        <v>33</v>
      </c>
      <c r="D15" t="s">
        <v>73</v>
      </c>
      <c r="E15" t="s">
        <v>74</v>
      </c>
      <c r="F15" t="s">
        <v>75</v>
      </c>
      <c r="G15" t="s">
        <v>24</v>
      </c>
      <c r="H15" s="4">
        <v>25824.93</v>
      </c>
      <c r="I15">
        <v>3</v>
      </c>
      <c r="J15" s="5">
        <v>0.05</v>
      </c>
      <c r="K15">
        <v>2197.2800000000002</v>
      </c>
      <c r="L15" t="s">
        <v>31</v>
      </c>
      <c r="M15" s="16">
        <f t="shared" si="0"/>
        <v>45658</v>
      </c>
    </row>
    <row r="16" spans="1:13" x14ac:dyDescent="0.3">
      <c r="A16" t="s">
        <v>76</v>
      </c>
      <c r="B16" s="3">
        <v>45668.212424849698</v>
      </c>
      <c r="C16" t="s">
        <v>77</v>
      </c>
      <c r="D16" t="s">
        <v>54</v>
      </c>
      <c r="E16" t="s">
        <v>55</v>
      </c>
      <c r="F16" t="s">
        <v>16</v>
      </c>
      <c r="G16" t="s">
        <v>17</v>
      </c>
      <c r="H16" s="4">
        <v>61498.38</v>
      </c>
      <c r="I16">
        <v>5</v>
      </c>
      <c r="J16" s="5">
        <v>0.05</v>
      </c>
      <c r="K16">
        <v>14212.9</v>
      </c>
      <c r="L16" t="s">
        <v>18</v>
      </c>
      <c r="M16" s="16">
        <f t="shared" si="0"/>
        <v>45658</v>
      </c>
    </row>
    <row r="17" spans="1:13" x14ac:dyDescent="0.3">
      <c r="A17" t="s">
        <v>78</v>
      </c>
      <c r="B17" s="3">
        <v>45668.941883767533</v>
      </c>
      <c r="C17" t="s">
        <v>79</v>
      </c>
      <c r="D17" t="s">
        <v>71</v>
      </c>
      <c r="E17" t="s">
        <v>55</v>
      </c>
      <c r="F17" t="s">
        <v>56</v>
      </c>
      <c r="G17" t="s">
        <v>35</v>
      </c>
      <c r="H17" s="4">
        <v>3454.46</v>
      </c>
      <c r="I17">
        <v>4</v>
      </c>
      <c r="J17" s="5">
        <v>0.15</v>
      </c>
      <c r="K17">
        <v>713.97</v>
      </c>
      <c r="L17" t="s">
        <v>18</v>
      </c>
      <c r="M17" s="16">
        <f t="shared" si="0"/>
        <v>45658</v>
      </c>
    </row>
    <row r="18" spans="1:13" x14ac:dyDescent="0.3">
      <c r="A18" t="s">
        <v>80</v>
      </c>
      <c r="B18" s="3">
        <v>45669.671342685368</v>
      </c>
      <c r="C18" t="s">
        <v>81</v>
      </c>
      <c r="D18" t="s">
        <v>73</v>
      </c>
      <c r="E18" t="s">
        <v>74</v>
      </c>
      <c r="F18" t="s">
        <v>75</v>
      </c>
      <c r="G18" t="s">
        <v>24</v>
      </c>
      <c r="H18" s="4">
        <v>27558.42</v>
      </c>
      <c r="I18">
        <v>4</v>
      </c>
      <c r="J18" s="5">
        <v>0.2</v>
      </c>
      <c r="K18">
        <v>3704.58</v>
      </c>
      <c r="L18" t="s">
        <v>25</v>
      </c>
      <c r="M18" s="16">
        <f t="shared" si="0"/>
        <v>45658</v>
      </c>
    </row>
    <row r="19" spans="1:13" x14ac:dyDescent="0.3">
      <c r="A19" t="s">
        <v>82</v>
      </c>
      <c r="B19" s="3">
        <v>45670.400801603209</v>
      </c>
      <c r="C19" t="s">
        <v>83</v>
      </c>
      <c r="D19" t="s">
        <v>38</v>
      </c>
      <c r="E19" t="s">
        <v>39</v>
      </c>
      <c r="F19" t="s">
        <v>40</v>
      </c>
      <c r="G19" t="s">
        <v>17</v>
      </c>
      <c r="H19" s="4">
        <v>7314.17</v>
      </c>
      <c r="I19">
        <v>3</v>
      </c>
      <c r="J19" s="5">
        <v>0</v>
      </c>
      <c r="K19">
        <v>760.48</v>
      </c>
      <c r="L19" t="s">
        <v>18</v>
      </c>
      <c r="M19" s="16">
        <f t="shared" si="0"/>
        <v>45658</v>
      </c>
    </row>
    <row r="20" spans="1:13" x14ac:dyDescent="0.3">
      <c r="A20" t="s">
        <v>84</v>
      </c>
      <c r="B20" s="3">
        <v>45671.130260521037</v>
      </c>
      <c r="C20" t="s">
        <v>42</v>
      </c>
      <c r="D20" t="s">
        <v>28</v>
      </c>
      <c r="E20" t="s">
        <v>29</v>
      </c>
      <c r="F20" t="s">
        <v>23</v>
      </c>
      <c r="G20" t="s">
        <v>24</v>
      </c>
      <c r="H20" s="4">
        <v>11653.81</v>
      </c>
      <c r="I20">
        <v>1</v>
      </c>
      <c r="J20" s="5">
        <v>0</v>
      </c>
      <c r="K20">
        <v>1524.12</v>
      </c>
      <c r="L20" t="s">
        <v>51</v>
      </c>
      <c r="M20" s="16">
        <f t="shared" si="0"/>
        <v>45658</v>
      </c>
    </row>
    <row r="21" spans="1:13" x14ac:dyDescent="0.3">
      <c r="A21" t="s">
        <v>85</v>
      </c>
      <c r="B21" s="3">
        <v>45671.859719438879</v>
      </c>
      <c r="C21" t="s">
        <v>86</v>
      </c>
      <c r="D21" t="s">
        <v>71</v>
      </c>
      <c r="E21" t="s">
        <v>55</v>
      </c>
      <c r="F21" t="s">
        <v>87</v>
      </c>
      <c r="G21" t="s">
        <v>17</v>
      </c>
      <c r="H21" s="4">
        <v>257249.34</v>
      </c>
      <c r="I21">
        <v>5</v>
      </c>
      <c r="J21" s="5">
        <v>0</v>
      </c>
      <c r="K21">
        <v>51941.95</v>
      </c>
      <c r="L21" t="s">
        <v>68</v>
      </c>
      <c r="M21" s="16">
        <f t="shared" si="0"/>
        <v>45658</v>
      </c>
    </row>
    <row r="22" spans="1:13" x14ac:dyDescent="0.3">
      <c r="A22" t="s">
        <v>88</v>
      </c>
      <c r="B22" s="3">
        <v>45672.589178356713</v>
      </c>
      <c r="C22" t="s">
        <v>89</v>
      </c>
      <c r="D22" t="s">
        <v>90</v>
      </c>
      <c r="E22" t="s">
        <v>44</v>
      </c>
      <c r="F22" t="s">
        <v>87</v>
      </c>
      <c r="G22" t="s">
        <v>17</v>
      </c>
      <c r="H22" s="4">
        <v>156550.43</v>
      </c>
      <c r="I22">
        <v>3</v>
      </c>
      <c r="J22" s="5">
        <v>0.1</v>
      </c>
      <c r="K22">
        <v>26544.16</v>
      </c>
      <c r="L22" t="s">
        <v>25</v>
      </c>
      <c r="M22" s="16">
        <f t="shared" si="0"/>
        <v>45658</v>
      </c>
    </row>
    <row r="23" spans="1:13" x14ac:dyDescent="0.3">
      <c r="A23" t="s">
        <v>91</v>
      </c>
      <c r="B23" s="3">
        <v>45673.318637274548</v>
      </c>
      <c r="C23" t="s">
        <v>86</v>
      </c>
      <c r="D23" t="s">
        <v>14</v>
      </c>
      <c r="E23" t="s">
        <v>15</v>
      </c>
      <c r="F23" t="s">
        <v>34</v>
      </c>
      <c r="G23" t="s">
        <v>35</v>
      </c>
      <c r="H23" s="4">
        <v>4234.96</v>
      </c>
      <c r="I23">
        <v>3</v>
      </c>
      <c r="J23" s="5">
        <v>0.15</v>
      </c>
      <c r="K23">
        <v>737.14</v>
      </c>
      <c r="L23" t="s">
        <v>18</v>
      </c>
      <c r="M23" s="16">
        <f t="shared" si="0"/>
        <v>45658</v>
      </c>
    </row>
    <row r="24" spans="1:13" x14ac:dyDescent="0.3">
      <c r="A24" t="s">
        <v>92</v>
      </c>
      <c r="B24" s="3">
        <v>45674.048096192382</v>
      </c>
      <c r="C24" t="s">
        <v>93</v>
      </c>
      <c r="D24" t="s">
        <v>90</v>
      </c>
      <c r="E24" t="s">
        <v>44</v>
      </c>
      <c r="F24" t="s">
        <v>94</v>
      </c>
      <c r="G24" t="s">
        <v>46</v>
      </c>
      <c r="H24" s="4">
        <v>54132.82</v>
      </c>
      <c r="I24">
        <v>4</v>
      </c>
      <c r="J24" s="5">
        <v>0.1</v>
      </c>
      <c r="K24">
        <v>13623.7</v>
      </c>
      <c r="L24" t="s">
        <v>18</v>
      </c>
      <c r="M24" s="16">
        <f t="shared" si="0"/>
        <v>45658</v>
      </c>
    </row>
    <row r="25" spans="1:13" x14ac:dyDescent="0.3">
      <c r="A25" t="s">
        <v>95</v>
      </c>
      <c r="B25" s="3">
        <v>45674.777555110217</v>
      </c>
      <c r="C25" t="s">
        <v>96</v>
      </c>
      <c r="D25" t="s">
        <v>73</v>
      </c>
      <c r="E25" t="s">
        <v>74</v>
      </c>
      <c r="F25" t="s">
        <v>40</v>
      </c>
      <c r="G25" t="s">
        <v>17</v>
      </c>
      <c r="H25" s="4">
        <v>7159.5</v>
      </c>
      <c r="I25">
        <v>3</v>
      </c>
      <c r="J25" s="5">
        <v>0</v>
      </c>
      <c r="K25">
        <v>1919.5</v>
      </c>
      <c r="L25" t="s">
        <v>51</v>
      </c>
      <c r="M25" s="16">
        <f t="shared" si="0"/>
        <v>45658</v>
      </c>
    </row>
    <row r="26" spans="1:13" x14ac:dyDescent="0.3">
      <c r="A26" t="s">
        <v>97</v>
      </c>
      <c r="B26" s="3">
        <v>45675.507014028059</v>
      </c>
      <c r="C26" t="s">
        <v>13</v>
      </c>
      <c r="D26" t="s">
        <v>49</v>
      </c>
      <c r="E26" t="s">
        <v>50</v>
      </c>
      <c r="F26" t="s">
        <v>87</v>
      </c>
      <c r="G26" t="s">
        <v>17</v>
      </c>
      <c r="H26" s="4">
        <v>157132.78</v>
      </c>
      <c r="I26">
        <v>3</v>
      </c>
      <c r="J26" s="5">
        <v>0</v>
      </c>
      <c r="K26">
        <v>41630.559999999998</v>
      </c>
      <c r="L26" t="s">
        <v>25</v>
      </c>
      <c r="M26" s="16">
        <f t="shared" si="0"/>
        <v>45658</v>
      </c>
    </row>
    <row r="27" spans="1:13" x14ac:dyDescent="0.3">
      <c r="A27" t="s">
        <v>98</v>
      </c>
      <c r="B27" s="3">
        <v>45676.236472945893</v>
      </c>
      <c r="C27" t="s">
        <v>672</v>
      </c>
      <c r="D27" t="s">
        <v>73</v>
      </c>
      <c r="E27" t="s">
        <v>74</v>
      </c>
      <c r="F27" t="s">
        <v>94</v>
      </c>
      <c r="G27" t="s">
        <v>46</v>
      </c>
      <c r="H27" s="4">
        <v>60533.71</v>
      </c>
      <c r="I27">
        <v>4</v>
      </c>
      <c r="J27" s="5">
        <v>0</v>
      </c>
      <c r="K27">
        <v>5969.87</v>
      </c>
      <c r="L27" t="s">
        <v>68</v>
      </c>
      <c r="M27" s="16">
        <f t="shared" si="0"/>
        <v>45658</v>
      </c>
    </row>
    <row r="28" spans="1:13" x14ac:dyDescent="0.3">
      <c r="A28" t="s">
        <v>99</v>
      </c>
      <c r="B28" s="3">
        <v>45676.965931863728</v>
      </c>
      <c r="C28" t="s">
        <v>53</v>
      </c>
      <c r="D28" t="s">
        <v>21</v>
      </c>
      <c r="E28" t="s">
        <v>22</v>
      </c>
      <c r="F28" t="s">
        <v>75</v>
      </c>
      <c r="G28" t="s">
        <v>24</v>
      </c>
      <c r="H28" s="4">
        <v>7562.66</v>
      </c>
      <c r="I28">
        <v>1</v>
      </c>
      <c r="J28" s="5">
        <v>0.1</v>
      </c>
      <c r="K28">
        <v>1885.61</v>
      </c>
      <c r="L28" t="s">
        <v>31</v>
      </c>
      <c r="M28" s="16">
        <f t="shared" si="0"/>
        <v>45658</v>
      </c>
    </row>
    <row r="29" spans="1:13" x14ac:dyDescent="0.3">
      <c r="A29" t="s">
        <v>100</v>
      </c>
      <c r="B29" s="3">
        <v>45677.695390781562</v>
      </c>
      <c r="C29" t="s">
        <v>101</v>
      </c>
      <c r="D29" t="s">
        <v>49</v>
      </c>
      <c r="E29" t="s">
        <v>50</v>
      </c>
      <c r="F29" t="s">
        <v>16</v>
      </c>
      <c r="G29" t="s">
        <v>17</v>
      </c>
      <c r="H29" s="4">
        <v>40365.65</v>
      </c>
      <c r="I29">
        <v>3</v>
      </c>
      <c r="J29" s="5">
        <v>0.15</v>
      </c>
      <c r="K29">
        <v>8630.08</v>
      </c>
      <c r="L29" t="s">
        <v>18</v>
      </c>
      <c r="M29" s="16">
        <f t="shared" si="0"/>
        <v>45658</v>
      </c>
    </row>
    <row r="30" spans="1:13" x14ac:dyDescent="0.3">
      <c r="A30" t="s">
        <v>102</v>
      </c>
      <c r="B30" s="3">
        <v>45678.424849699397</v>
      </c>
      <c r="C30" t="s">
        <v>103</v>
      </c>
      <c r="D30" t="s">
        <v>38</v>
      </c>
      <c r="E30" t="s">
        <v>39</v>
      </c>
      <c r="F30" t="s">
        <v>30</v>
      </c>
      <c r="G30" t="s">
        <v>17</v>
      </c>
      <c r="H30" s="4">
        <v>56754</v>
      </c>
      <c r="I30">
        <v>2</v>
      </c>
      <c r="J30" s="5">
        <v>0.05</v>
      </c>
      <c r="K30">
        <v>15828.21</v>
      </c>
      <c r="L30" t="s">
        <v>25</v>
      </c>
      <c r="M30" s="16">
        <f t="shared" si="0"/>
        <v>45658</v>
      </c>
    </row>
    <row r="31" spans="1:13" x14ac:dyDescent="0.3">
      <c r="A31" t="s">
        <v>104</v>
      </c>
      <c r="B31" s="3">
        <v>45679.154308617231</v>
      </c>
      <c r="C31" t="s">
        <v>105</v>
      </c>
      <c r="D31" t="s">
        <v>90</v>
      </c>
      <c r="E31" t="s">
        <v>44</v>
      </c>
      <c r="F31" t="s">
        <v>106</v>
      </c>
      <c r="G31" t="s">
        <v>35</v>
      </c>
      <c r="H31" s="4">
        <v>6220.41</v>
      </c>
      <c r="I31">
        <v>4</v>
      </c>
      <c r="J31" s="5">
        <v>0.1</v>
      </c>
      <c r="K31">
        <v>1394.54</v>
      </c>
      <c r="L31" t="s">
        <v>68</v>
      </c>
      <c r="M31" s="16">
        <f t="shared" si="0"/>
        <v>45658</v>
      </c>
    </row>
    <row r="32" spans="1:13" x14ac:dyDescent="0.3">
      <c r="A32" t="s">
        <v>107</v>
      </c>
      <c r="B32" s="3">
        <v>45679.883767535073</v>
      </c>
      <c r="C32" t="s">
        <v>108</v>
      </c>
      <c r="D32" t="s">
        <v>71</v>
      </c>
      <c r="E32" t="s">
        <v>55</v>
      </c>
      <c r="F32" t="s">
        <v>56</v>
      </c>
      <c r="G32" t="s">
        <v>35</v>
      </c>
      <c r="H32" s="4">
        <v>2514.52</v>
      </c>
      <c r="I32">
        <v>3</v>
      </c>
      <c r="J32" s="5">
        <v>0.05</v>
      </c>
      <c r="K32">
        <v>525.59</v>
      </c>
      <c r="L32" t="s">
        <v>25</v>
      </c>
      <c r="M32" s="16">
        <f t="shared" si="0"/>
        <v>45658</v>
      </c>
    </row>
    <row r="33" spans="1:13" x14ac:dyDescent="0.3">
      <c r="A33" t="s">
        <v>109</v>
      </c>
      <c r="B33" s="3">
        <v>45680.613226452908</v>
      </c>
      <c r="C33" t="s">
        <v>110</v>
      </c>
      <c r="D33" t="s">
        <v>71</v>
      </c>
      <c r="E33" t="s">
        <v>55</v>
      </c>
      <c r="F33" t="s">
        <v>16</v>
      </c>
      <c r="G33" t="s">
        <v>17</v>
      </c>
      <c r="H33" s="4">
        <v>45383.78</v>
      </c>
      <c r="I33">
        <v>3</v>
      </c>
      <c r="J33" s="5">
        <v>0</v>
      </c>
      <c r="K33">
        <v>12657.99</v>
      </c>
      <c r="L33" t="s">
        <v>18</v>
      </c>
      <c r="M33" s="16">
        <f t="shared" si="0"/>
        <v>45658</v>
      </c>
    </row>
    <row r="34" spans="1:13" x14ac:dyDescent="0.3">
      <c r="A34" t="s">
        <v>111</v>
      </c>
      <c r="B34" s="3">
        <v>45681.342685370742</v>
      </c>
      <c r="C34" t="s">
        <v>70</v>
      </c>
      <c r="D34" t="s">
        <v>61</v>
      </c>
      <c r="E34" t="s">
        <v>62</v>
      </c>
      <c r="F34" t="s">
        <v>94</v>
      </c>
      <c r="G34" t="s">
        <v>46</v>
      </c>
      <c r="H34" s="4">
        <v>80405.31</v>
      </c>
      <c r="I34">
        <v>5</v>
      </c>
      <c r="J34" s="5">
        <v>0.05</v>
      </c>
      <c r="K34">
        <v>21977.26</v>
      </c>
      <c r="L34" t="s">
        <v>25</v>
      </c>
      <c r="M34" s="16">
        <f t="shared" si="0"/>
        <v>45658</v>
      </c>
    </row>
    <row r="35" spans="1:13" x14ac:dyDescent="0.3">
      <c r="A35" t="s">
        <v>112</v>
      </c>
      <c r="B35" s="3">
        <v>45682.072144288577</v>
      </c>
      <c r="C35" t="s">
        <v>113</v>
      </c>
      <c r="D35" t="s">
        <v>114</v>
      </c>
      <c r="E35" t="s">
        <v>114</v>
      </c>
      <c r="F35" t="s">
        <v>75</v>
      </c>
      <c r="G35" t="s">
        <v>24</v>
      </c>
      <c r="H35" s="4">
        <v>8505.69</v>
      </c>
      <c r="I35">
        <v>1</v>
      </c>
      <c r="J35" s="5">
        <v>0</v>
      </c>
      <c r="K35">
        <v>1627.65</v>
      </c>
      <c r="L35" t="s">
        <v>18</v>
      </c>
      <c r="M35" s="16">
        <f t="shared" si="0"/>
        <v>45658</v>
      </c>
    </row>
    <row r="36" spans="1:13" x14ac:dyDescent="0.3">
      <c r="A36" t="s">
        <v>115</v>
      </c>
      <c r="B36" s="3">
        <v>45682.801603206412</v>
      </c>
      <c r="C36" t="s">
        <v>116</v>
      </c>
      <c r="D36" t="s">
        <v>49</v>
      </c>
      <c r="E36" t="s">
        <v>50</v>
      </c>
      <c r="F36" t="s">
        <v>23</v>
      </c>
      <c r="G36" t="s">
        <v>24</v>
      </c>
      <c r="H36" s="4">
        <v>19862.439999999999</v>
      </c>
      <c r="I36">
        <v>2</v>
      </c>
      <c r="J36" s="5">
        <v>0.2</v>
      </c>
      <c r="K36">
        <v>2145.48</v>
      </c>
      <c r="L36" t="s">
        <v>51</v>
      </c>
      <c r="M36" s="16">
        <f t="shared" si="0"/>
        <v>45658</v>
      </c>
    </row>
    <row r="37" spans="1:13" x14ac:dyDescent="0.3">
      <c r="A37" t="s">
        <v>117</v>
      </c>
      <c r="B37" s="3">
        <v>45683.531062124253</v>
      </c>
      <c r="C37" t="s">
        <v>118</v>
      </c>
      <c r="D37" t="s">
        <v>73</v>
      </c>
      <c r="E37" t="s">
        <v>74</v>
      </c>
      <c r="F37" t="s">
        <v>87</v>
      </c>
      <c r="G37" t="s">
        <v>17</v>
      </c>
      <c r="H37" s="4">
        <v>44103.82</v>
      </c>
      <c r="I37">
        <v>1</v>
      </c>
      <c r="J37" s="5">
        <v>0.1</v>
      </c>
      <c r="K37">
        <v>8404.6</v>
      </c>
      <c r="L37" t="s">
        <v>51</v>
      </c>
      <c r="M37" s="16">
        <f t="shared" si="0"/>
        <v>45658</v>
      </c>
    </row>
    <row r="38" spans="1:13" x14ac:dyDescent="0.3">
      <c r="A38" t="s">
        <v>119</v>
      </c>
      <c r="B38" s="3">
        <v>45684.260521042081</v>
      </c>
      <c r="C38" t="s">
        <v>120</v>
      </c>
      <c r="D38" t="s">
        <v>71</v>
      </c>
      <c r="E38" t="s">
        <v>55</v>
      </c>
      <c r="F38" t="s">
        <v>30</v>
      </c>
      <c r="G38" t="s">
        <v>17</v>
      </c>
      <c r="H38" s="4">
        <v>31003.62</v>
      </c>
      <c r="I38">
        <v>1</v>
      </c>
      <c r="J38" s="5">
        <v>0</v>
      </c>
      <c r="K38">
        <v>2512.44</v>
      </c>
      <c r="L38" t="s">
        <v>31</v>
      </c>
      <c r="M38" s="16">
        <f t="shared" si="0"/>
        <v>45658</v>
      </c>
    </row>
    <row r="39" spans="1:13" x14ac:dyDescent="0.3">
      <c r="A39" t="s">
        <v>121</v>
      </c>
      <c r="B39" s="3">
        <v>45684.989979959922</v>
      </c>
      <c r="C39" t="s">
        <v>122</v>
      </c>
      <c r="D39" t="s">
        <v>49</v>
      </c>
      <c r="E39" t="s">
        <v>50</v>
      </c>
      <c r="F39" t="s">
        <v>63</v>
      </c>
      <c r="G39" t="s">
        <v>17</v>
      </c>
      <c r="H39" s="4">
        <v>59652.68</v>
      </c>
      <c r="I39">
        <v>3</v>
      </c>
      <c r="J39" s="5">
        <v>0.05</v>
      </c>
      <c r="K39">
        <v>5893.47</v>
      </c>
      <c r="L39" t="s">
        <v>18</v>
      </c>
      <c r="M39" s="16">
        <f t="shared" si="0"/>
        <v>45658</v>
      </c>
    </row>
    <row r="40" spans="1:13" x14ac:dyDescent="0.3">
      <c r="A40" t="s">
        <v>123</v>
      </c>
      <c r="B40" s="3">
        <v>45685.719438877757</v>
      </c>
      <c r="C40" t="s">
        <v>124</v>
      </c>
      <c r="D40" t="s">
        <v>38</v>
      </c>
      <c r="E40" t="s">
        <v>39</v>
      </c>
      <c r="F40" t="s">
        <v>45</v>
      </c>
      <c r="G40" t="s">
        <v>46</v>
      </c>
      <c r="H40" s="4">
        <v>1170.53</v>
      </c>
      <c r="I40">
        <v>5</v>
      </c>
      <c r="J40" s="5">
        <v>0.15</v>
      </c>
      <c r="K40">
        <v>152.22999999999999</v>
      </c>
      <c r="L40" t="s">
        <v>18</v>
      </c>
      <c r="M40" s="16">
        <f t="shared" si="0"/>
        <v>45658</v>
      </c>
    </row>
    <row r="41" spans="1:13" x14ac:dyDescent="0.3">
      <c r="A41" t="s">
        <v>125</v>
      </c>
      <c r="B41" s="3">
        <v>45686.448897795592</v>
      </c>
      <c r="C41" t="s">
        <v>126</v>
      </c>
      <c r="D41" t="s">
        <v>61</v>
      </c>
      <c r="E41" t="s">
        <v>62</v>
      </c>
      <c r="F41" t="s">
        <v>106</v>
      </c>
      <c r="G41" t="s">
        <v>35</v>
      </c>
      <c r="H41" s="4">
        <v>1878.2</v>
      </c>
      <c r="I41">
        <v>1</v>
      </c>
      <c r="J41" s="5">
        <v>0.05</v>
      </c>
      <c r="K41">
        <v>512.84</v>
      </c>
      <c r="L41" t="s">
        <v>68</v>
      </c>
      <c r="M41" s="16">
        <f t="shared" si="0"/>
        <v>45658</v>
      </c>
    </row>
    <row r="42" spans="1:13" x14ac:dyDescent="0.3">
      <c r="A42" t="s">
        <v>127</v>
      </c>
      <c r="B42" s="3">
        <v>45687.178356713433</v>
      </c>
      <c r="C42" t="s">
        <v>70</v>
      </c>
      <c r="D42" t="s">
        <v>54</v>
      </c>
      <c r="E42" t="s">
        <v>55</v>
      </c>
      <c r="F42" t="s">
        <v>40</v>
      </c>
      <c r="G42" t="s">
        <v>17</v>
      </c>
      <c r="H42" s="4">
        <v>7118.59</v>
      </c>
      <c r="I42">
        <v>4</v>
      </c>
      <c r="J42" s="5">
        <v>0.2</v>
      </c>
      <c r="K42">
        <v>1586.87</v>
      </c>
      <c r="L42" t="s">
        <v>18</v>
      </c>
      <c r="M42" s="16">
        <f t="shared" si="0"/>
        <v>45658</v>
      </c>
    </row>
    <row r="43" spans="1:13" x14ac:dyDescent="0.3">
      <c r="A43" t="s">
        <v>128</v>
      </c>
      <c r="B43" s="3">
        <v>45687.907815631261</v>
      </c>
      <c r="C43" t="s">
        <v>129</v>
      </c>
      <c r="D43" t="s">
        <v>61</v>
      </c>
      <c r="E43" t="s">
        <v>62</v>
      </c>
      <c r="F43" t="s">
        <v>45</v>
      </c>
      <c r="G43" t="s">
        <v>46</v>
      </c>
      <c r="H43" s="4">
        <v>343.04</v>
      </c>
      <c r="I43">
        <v>2</v>
      </c>
      <c r="J43" s="5">
        <v>0.2</v>
      </c>
      <c r="K43">
        <v>84.8</v>
      </c>
      <c r="L43" t="s">
        <v>31</v>
      </c>
      <c r="M43" s="16">
        <f t="shared" si="0"/>
        <v>45658</v>
      </c>
    </row>
    <row r="44" spans="1:13" x14ac:dyDescent="0.3">
      <c r="A44" t="s">
        <v>130</v>
      </c>
      <c r="B44" s="3">
        <v>45688.637274549103</v>
      </c>
      <c r="C44" t="s">
        <v>131</v>
      </c>
      <c r="D44" t="s">
        <v>73</v>
      </c>
      <c r="E44" t="s">
        <v>74</v>
      </c>
      <c r="F44" t="s">
        <v>45</v>
      </c>
      <c r="G44" t="s">
        <v>46</v>
      </c>
      <c r="H44" s="4">
        <v>245.68</v>
      </c>
      <c r="I44">
        <v>1</v>
      </c>
      <c r="J44" s="5">
        <v>0</v>
      </c>
      <c r="K44">
        <v>24.27</v>
      </c>
      <c r="L44" t="s">
        <v>68</v>
      </c>
      <c r="M44" s="16">
        <f t="shared" si="0"/>
        <v>45658</v>
      </c>
    </row>
    <row r="45" spans="1:13" x14ac:dyDescent="0.3">
      <c r="A45" t="s">
        <v>132</v>
      </c>
      <c r="B45" s="3">
        <v>45689.36673346693</v>
      </c>
      <c r="C45" t="s">
        <v>133</v>
      </c>
      <c r="D45" t="s">
        <v>114</v>
      </c>
      <c r="E45" t="s">
        <v>114</v>
      </c>
      <c r="F45" t="s">
        <v>87</v>
      </c>
      <c r="G45" t="s">
        <v>17</v>
      </c>
      <c r="H45" s="4">
        <v>265163.84999999998</v>
      </c>
      <c r="I45">
        <v>5</v>
      </c>
      <c r="J45" s="5">
        <v>0.1</v>
      </c>
      <c r="K45">
        <v>53654.35</v>
      </c>
      <c r="L45" t="s">
        <v>25</v>
      </c>
      <c r="M45" s="16">
        <f t="shared" si="0"/>
        <v>45689</v>
      </c>
    </row>
    <row r="46" spans="1:13" x14ac:dyDescent="0.3">
      <c r="A46" t="s">
        <v>134</v>
      </c>
      <c r="B46" s="3">
        <v>45690.096192384772</v>
      </c>
      <c r="C46" t="s">
        <v>135</v>
      </c>
      <c r="D46" t="s">
        <v>73</v>
      </c>
      <c r="E46" t="s">
        <v>74</v>
      </c>
      <c r="F46" t="s">
        <v>40</v>
      </c>
      <c r="G46" t="s">
        <v>17</v>
      </c>
      <c r="H46" s="4">
        <v>10521.84</v>
      </c>
      <c r="I46">
        <v>5</v>
      </c>
      <c r="J46" s="5">
        <v>0.05</v>
      </c>
      <c r="K46">
        <v>1034.93</v>
      </c>
      <c r="L46" t="s">
        <v>68</v>
      </c>
      <c r="M46" s="16">
        <f t="shared" si="0"/>
        <v>45689</v>
      </c>
    </row>
    <row r="47" spans="1:13" x14ac:dyDescent="0.3">
      <c r="A47" t="s">
        <v>136</v>
      </c>
      <c r="B47" s="3">
        <v>45690.825651302614</v>
      </c>
      <c r="C47" t="s">
        <v>137</v>
      </c>
      <c r="D47" t="s">
        <v>61</v>
      </c>
      <c r="E47" t="s">
        <v>62</v>
      </c>
      <c r="F47" t="s">
        <v>45</v>
      </c>
      <c r="G47" t="s">
        <v>46</v>
      </c>
      <c r="H47" s="4">
        <v>473.8</v>
      </c>
      <c r="I47">
        <v>2</v>
      </c>
      <c r="J47" s="5">
        <v>0.05</v>
      </c>
      <c r="K47">
        <v>54.32</v>
      </c>
      <c r="L47" t="s">
        <v>51</v>
      </c>
      <c r="M47" s="16">
        <f t="shared" si="0"/>
        <v>45689</v>
      </c>
    </row>
    <row r="48" spans="1:13" x14ac:dyDescent="0.3">
      <c r="A48" t="s">
        <v>138</v>
      </c>
      <c r="B48" s="3">
        <v>45691.555110220441</v>
      </c>
      <c r="C48" t="s">
        <v>139</v>
      </c>
      <c r="D48" t="s">
        <v>73</v>
      </c>
      <c r="E48" t="s">
        <v>74</v>
      </c>
      <c r="F48" t="s">
        <v>56</v>
      </c>
      <c r="G48" t="s">
        <v>35</v>
      </c>
      <c r="H48" s="4">
        <v>4770.92</v>
      </c>
      <c r="I48">
        <v>5</v>
      </c>
      <c r="J48" s="5">
        <v>0.05</v>
      </c>
      <c r="K48">
        <v>396.28</v>
      </c>
      <c r="L48" t="s">
        <v>31</v>
      </c>
      <c r="M48" s="16">
        <f t="shared" si="0"/>
        <v>45689</v>
      </c>
    </row>
    <row r="49" spans="1:13" x14ac:dyDescent="0.3">
      <c r="A49" t="s">
        <v>140</v>
      </c>
      <c r="B49" s="3">
        <v>45692.284569138283</v>
      </c>
      <c r="C49" t="s">
        <v>135</v>
      </c>
      <c r="D49" t="s">
        <v>49</v>
      </c>
      <c r="E49" t="s">
        <v>50</v>
      </c>
      <c r="F49" t="s">
        <v>106</v>
      </c>
      <c r="G49" t="s">
        <v>35</v>
      </c>
      <c r="H49" s="4">
        <v>8089.92</v>
      </c>
      <c r="I49">
        <v>5</v>
      </c>
      <c r="J49" s="5">
        <v>0</v>
      </c>
      <c r="K49">
        <v>1686.62</v>
      </c>
      <c r="L49" t="s">
        <v>25</v>
      </c>
      <c r="M49" s="16">
        <f t="shared" si="0"/>
        <v>45689</v>
      </c>
    </row>
    <row r="50" spans="1:13" x14ac:dyDescent="0.3">
      <c r="A50" t="s">
        <v>141</v>
      </c>
      <c r="B50" s="3">
        <v>45693.01402805611</v>
      </c>
      <c r="C50" t="s">
        <v>142</v>
      </c>
      <c r="D50" t="s">
        <v>43</v>
      </c>
      <c r="E50" t="s">
        <v>44</v>
      </c>
      <c r="F50" t="s">
        <v>40</v>
      </c>
      <c r="G50" t="s">
        <v>17</v>
      </c>
      <c r="H50" s="4">
        <v>7552.68</v>
      </c>
      <c r="I50">
        <v>4</v>
      </c>
      <c r="J50" s="5">
        <v>0.15</v>
      </c>
      <c r="K50">
        <v>1843.82</v>
      </c>
      <c r="L50" t="s">
        <v>31</v>
      </c>
      <c r="M50" s="16">
        <f t="shared" si="0"/>
        <v>45689</v>
      </c>
    </row>
    <row r="51" spans="1:13" x14ac:dyDescent="0.3">
      <c r="A51" t="s">
        <v>143</v>
      </c>
      <c r="B51" s="3">
        <v>45693.743486973937</v>
      </c>
      <c r="C51" t="s">
        <v>144</v>
      </c>
      <c r="D51" t="s">
        <v>90</v>
      </c>
      <c r="E51" t="s">
        <v>44</v>
      </c>
      <c r="F51" t="s">
        <v>23</v>
      </c>
      <c r="G51" t="s">
        <v>24</v>
      </c>
      <c r="H51" s="4">
        <v>20793.72</v>
      </c>
      <c r="I51">
        <v>2</v>
      </c>
      <c r="J51" s="5">
        <v>0.05</v>
      </c>
      <c r="K51">
        <v>2555.92</v>
      </c>
      <c r="L51" t="s">
        <v>51</v>
      </c>
      <c r="M51" s="16">
        <f t="shared" si="0"/>
        <v>45689</v>
      </c>
    </row>
    <row r="52" spans="1:13" x14ac:dyDescent="0.3">
      <c r="A52" t="s">
        <v>145</v>
      </c>
      <c r="B52" s="3">
        <v>45694.472945891779</v>
      </c>
      <c r="C52" t="s">
        <v>144</v>
      </c>
      <c r="D52" t="s">
        <v>71</v>
      </c>
      <c r="E52" t="s">
        <v>55</v>
      </c>
      <c r="F52" t="s">
        <v>75</v>
      </c>
      <c r="G52" t="s">
        <v>24</v>
      </c>
      <c r="H52" s="4">
        <v>8949.43</v>
      </c>
      <c r="I52">
        <v>1</v>
      </c>
      <c r="J52" s="5">
        <v>0.05</v>
      </c>
      <c r="K52">
        <v>1935.97</v>
      </c>
      <c r="L52" t="s">
        <v>31</v>
      </c>
      <c r="M52" s="16">
        <f t="shared" si="0"/>
        <v>45689</v>
      </c>
    </row>
    <row r="53" spans="1:13" x14ac:dyDescent="0.3">
      <c r="A53" t="s">
        <v>146</v>
      </c>
      <c r="B53" s="3">
        <v>45695.202404809621</v>
      </c>
      <c r="C53" t="s">
        <v>37</v>
      </c>
      <c r="D53" t="s">
        <v>14</v>
      </c>
      <c r="E53" t="s">
        <v>15</v>
      </c>
      <c r="F53" t="s">
        <v>16</v>
      </c>
      <c r="G53" t="s">
        <v>17</v>
      </c>
      <c r="H53" s="4">
        <v>26687.33</v>
      </c>
      <c r="I53">
        <v>2</v>
      </c>
      <c r="J53" s="5">
        <v>0.1</v>
      </c>
      <c r="K53">
        <v>6818.46</v>
      </c>
      <c r="L53" t="s">
        <v>68</v>
      </c>
      <c r="M53" s="16">
        <f t="shared" si="0"/>
        <v>45689</v>
      </c>
    </row>
    <row r="54" spans="1:13" x14ac:dyDescent="0.3">
      <c r="A54" t="s">
        <v>147</v>
      </c>
      <c r="B54" s="3">
        <v>45695.931863727463</v>
      </c>
      <c r="C54" t="s">
        <v>148</v>
      </c>
      <c r="D54" t="s">
        <v>38</v>
      </c>
      <c r="E54" t="s">
        <v>39</v>
      </c>
      <c r="F54" t="s">
        <v>16</v>
      </c>
      <c r="G54" t="s">
        <v>17</v>
      </c>
      <c r="H54" s="4">
        <v>24621.439999999999</v>
      </c>
      <c r="I54">
        <v>2</v>
      </c>
      <c r="J54" s="5">
        <v>0.1</v>
      </c>
      <c r="K54">
        <v>4805.7299999999996</v>
      </c>
      <c r="L54" t="s">
        <v>51</v>
      </c>
      <c r="M54" s="16">
        <f t="shared" si="0"/>
        <v>45689</v>
      </c>
    </row>
    <row r="55" spans="1:13" x14ac:dyDescent="0.3">
      <c r="A55" t="s">
        <v>149</v>
      </c>
      <c r="B55" s="3">
        <v>45696.66132264529</v>
      </c>
      <c r="C55" t="s">
        <v>101</v>
      </c>
      <c r="D55" t="s">
        <v>90</v>
      </c>
      <c r="E55" t="s">
        <v>44</v>
      </c>
      <c r="F55" t="s">
        <v>75</v>
      </c>
      <c r="G55" t="s">
        <v>24</v>
      </c>
      <c r="H55" s="4">
        <v>37323.949999999997</v>
      </c>
      <c r="I55">
        <v>5</v>
      </c>
      <c r="J55" s="5">
        <v>0.1</v>
      </c>
      <c r="K55">
        <v>8509.18</v>
      </c>
      <c r="L55" t="s">
        <v>31</v>
      </c>
      <c r="M55" s="16">
        <f t="shared" si="0"/>
        <v>45689</v>
      </c>
    </row>
    <row r="56" spans="1:13" x14ac:dyDescent="0.3">
      <c r="A56" t="s">
        <v>150</v>
      </c>
      <c r="B56" s="3">
        <v>45697.390781563117</v>
      </c>
      <c r="C56" t="s">
        <v>27</v>
      </c>
      <c r="D56" t="s">
        <v>90</v>
      </c>
      <c r="E56" t="s">
        <v>44</v>
      </c>
      <c r="F56" t="s">
        <v>16</v>
      </c>
      <c r="G56" t="s">
        <v>17</v>
      </c>
      <c r="H56" s="4">
        <v>11257.58</v>
      </c>
      <c r="I56">
        <v>1</v>
      </c>
      <c r="J56" s="5">
        <v>0.15</v>
      </c>
      <c r="K56">
        <v>1776.9</v>
      </c>
      <c r="L56" t="s">
        <v>18</v>
      </c>
      <c r="M56" s="16">
        <f t="shared" si="0"/>
        <v>45689</v>
      </c>
    </row>
    <row r="57" spans="1:13" x14ac:dyDescent="0.3">
      <c r="A57" t="s">
        <v>151</v>
      </c>
      <c r="B57" s="3">
        <v>45698.120240480959</v>
      </c>
      <c r="C57" t="s">
        <v>152</v>
      </c>
      <c r="D57" t="s">
        <v>61</v>
      </c>
      <c r="E57" t="s">
        <v>62</v>
      </c>
      <c r="F57" t="s">
        <v>94</v>
      </c>
      <c r="G57" t="s">
        <v>46</v>
      </c>
      <c r="H57" s="4">
        <v>54480.9</v>
      </c>
      <c r="I57">
        <v>4</v>
      </c>
      <c r="J57" s="5">
        <v>0.2</v>
      </c>
      <c r="K57">
        <v>10606.75</v>
      </c>
      <c r="L57" t="s">
        <v>18</v>
      </c>
      <c r="M57" s="16">
        <f t="shared" si="0"/>
        <v>45689</v>
      </c>
    </row>
    <row r="58" spans="1:13" x14ac:dyDescent="0.3">
      <c r="A58" t="s">
        <v>153</v>
      </c>
      <c r="B58" s="3">
        <v>45698.849699398786</v>
      </c>
      <c r="C58" t="s">
        <v>154</v>
      </c>
      <c r="D58" t="s">
        <v>61</v>
      </c>
      <c r="E58" t="s">
        <v>62</v>
      </c>
      <c r="F58" t="s">
        <v>94</v>
      </c>
      <c r="G58" t="s">
        <v>46</v>
      </c>
      <c r="H58" s="4">
        <v>53639.53</v>
      </c>
      <c r="I58">
        <v>4</v>
      </c>
      <c r="J58" s="5">
        <v>0.15</v>
      </c>
      <c r="K58">
        <v>12783.15</v>
      </c>
      <c r="L58" t="s">
        <v>68</v>
      </c>
      <c r="M58" s="16">
        <f t="shared" si="0"/>
        <v>45689</v>
      </c>
    </row>
    <row r="59" spans="1:13" x14ac:dyDescent="0.3">
      <c r="A59" t="s">
        <v>155</v>
      </c>
      <c r="B59" s="3">
        <v>45699.579158316628</v>
      </c>
      <c r="C59" t="s">
        <v>156</v>
      </c>
      <c r="D59" t="s">
        <v>114</v>
      </c>
      <c r="E59" t="s">
        <v>114</v>
      </c>
      <c r="F59" t="s">
        <v>45</v>
      </c>
      <c r="G59" t="s">
        <v>46</v>
      </c>
      <c r="H59" s="4">
        <v>390.27</v>
      </c>
      <c r="I59">
        <v>2</v>
      </c>
      <c r="J59" s="5">
        <v>0.1</v>
      </c>
      <c r="K59">
        <v>65.680000000000007</v>
      </c>
      <c r="L59" t="s">
        <v>25</v>
      </c>
      <c r="M59" s="16">
        <f t="shared" si="0"/>
        <v>45689</v>
      </c>
    </row>
    <row r="60" spans="1:13" x14ac:dyDescent="0.3">
      <c r="A60" t="s">
        <v>157</v>
      </c>
      <c r="B60" s="3">
        <v>45700.30861723447</v>
      </c>
      <c r="C60" t="s">
        <v>158</v>
      </c>
      <c r="D60" t="s">
        <v>38</v>
      </c>
      <c r="E60" t="s">
        <v>39</v>
      </c>
      <c r="F60" t="s">
        <v>45</v>
      </c>
      <c r="G60" t="s">
        <v>46</v>
      </c>
      <c r="H60" s="4">
        <v>517.73</v>
      </c>
      <c r="I60">
        <v>2</v>
      </c>
      <c r="J60" s="5">
        <v>0</v>
      </c>
      <c r="K60">
        <v>50.13</v>
      </c>
      <c r="L60" t="s">
        <v>31</v>
      </c>
      <c r="M60" s="16">
        <f t="shared" si="0"/>
        <v>45689</v>
      </c>
    </row>
    <row r="61" spans="1:13" x14ac:dyDescent="0.3">
      <c r="A61" t="s">
        <v>159</v>
      </c>
      <c r="B61" s="3">
        <v>45701.038076152297</v>
      </c>
      <c r="C61" t="s">
        <v>160</v>
      </c>
      <c r="D61" t="s">
        <v>43</v>
      </c>
      <c r="E61" t="s">
        <v>44</v>
      </c>
      <c r="F61" t="s">
        <v>34</v>
      </c>
      <c r="G61" t="s">
        <v>35</v>
      </c>
      <c r="H61" s="4">
        <v>2896.5</v>
      </c>
      <c r="I61">
        <v>2</v>
      </c>
      <c r="J61" s="5">
        <v>0.1</v>
      </c>
      <c r="K61">
        <v>366.83</v>
      </c>
      <c r="L61" t="s">
        <v>25</v>
      </c>
      <c r="M61" s="16">
        <f t="shared" si="0"/>
        <v>45689</v>
      </c>
    </row>
    <row r="62" spans="1:13" x14ac:dyDescent="0.3">
      <c r="A62" t="s">
        <v>161</v>
      </c>
      <c r="B62" s="3">
        <v>45701.767535070139</v>
      </c>
      <c r="C62" t="s">
        <v>162</v>
      </c>
      <c r="D62" t="s">
        <v>90</v>
      </c>
      <c r="E62" t="s">
        <v>44</v>
      </c>
      <c r="F62" t="s">
        <v>75</v>
      </c>
      <c r="G62" t="s">
        <v>24</v>
      </c>
      <c r="H62" s="4">
        <v>8785.7000000000007</v>
      </c>
      <c r="I62">
        <v>1</v>
      </c>
      <c r="J62" s="5">
        <v>0.05</v>
      </c>
      <c r="K62">
        <v>1947.23</v>
      </c>
      <c r="L62" t="s">
        <v>18</v>
      </c>
      <c r="M62" s="16">
        <f t="shared" si="0"/>
        <v>45689</v>
      </c>
    </row>
    <row r="63" spans="1:13" x14ac:dyDescent="0.3">
      <c r="A63" t="s">
        <v>163</v>
      </c>
      <c r="B63" s="3">
        <v>45702.496993987967</v>
      </c>
      <c r="C63" t="s">
        <v>164</v>
      </c>
      <c r="D63" t="s">
        <v>73</v>
      </c>
      <c r="E63" t="s">
        <v>74</v>
      </c>
      <c r="F63" t="s">
        <v>45</v>
      </c>
      <c r="G63" t="s">
        <v>46</v>
      </c>
      <c r="H63" s="4">
        <v>629.39</v>
      </c>
      <c r="I63">
        <v>3</v>
      </c>
      <c r="J63" s="5">
        <v>0.05</v>
      </c>
      <c r="K63">
        <v>51.78</v>
      </c>
      <c r="L63" t="s">
        <v>25</v>
      </c>
      <c r="M63" s="16">
        <f t="shared" si="0"/>
        <v>45689</v>
      </c>
    </row>
    <row r="64" spans="1:13" x14ac:dyDescent="0.3">
      <c r="A64" t="s">
        <v>165</v>
      </c>
      <c r="B64" s="3">
        <v>45703.226452905808</v>
      </c>
      <c r="C64" t="s">
        <v>27</v>
      </c>
      <c r="D64" t="s">
        <v>61</v>
      </c>
      <c r="E64" t="s">
        <v>62</v>
      </c>
      <c r="F64" t="s">
        <v>23</v>
      </c>
      <c r="G64" t="s">
        <v>24</v>
      </c>
      <c r="H64" s="4">
        <v>59229.21</v>
      </c>
      <c r="I64">
        <v>5</v>
      </c>
      <c r="J64" s="5">
        <v>0.1</v>
      </c>
      <c r="K64">
        <v>12805.82</v>
      </c>
      <c r="L64" t="s">
        <v>25</v>
      </c>
      <c r="M64" s="16">
        <f t="shared" si="0"/>
        <v>45689</v>
      </c>
    </row>
    <row r="65" spans="1:13" x14ac:dyDescent="0.3">
      <c r="A65" t="s">
        <v>166</v>
      </c>
      <c r="B65" s="3">
        <v>45703.955911823643</v>
      </c>
      <c r="C65" t="s">
        <v>110</v>
      </c>
      <c r="D65" t="s">
        <v>90</v>
      </c>
      <c r="E65" t="s">
        <v>44</v>
      </c>
      <c r="F65" t="s">
        <v>94</v>
      </c>
      <c r="G65" t="s">
        <v>46</v>
      </c>
      <c r="H65" s="4">
        <v>11004.94</v>
      </c>
      <c r="I65">
        <v>1</v>
      </c>
      <c r="J65" s="5">
        <v>0.2</v>
      </c>
      <c r="K65">
        <v>907.15</v>
      </c>
      <c r="L65" t="s">
        <v>68</v>
      </c>
      <c r="M65" s="16">
        <f t="shared" si="0"/>
        <v>45689</v>
      </c>
    </row>
    <row r="66" spans="1:13" x14ac:dyDescent="0.3">
      <c r="A66" t="s">
        <v>167</v>
      </c>
      <c r="B66" s="3">
        <v>45704.685370741478</v>
      </c>
      <c r="C66" t="s">
        <v>168</v>
      </c>
      <c r="D66" t="s">
        <v>21</v>
      </c>
      <c r="E66" t="s">
        <v>22</v>
      </c>
      <c r="F66" t="s">
        <v>63</v>
      </c>
      <c r="G66" t="s">
        <v>17</v>
      </c>
      <c r="H66" s="4">
        <v>91663.81</v>
      </c>
      <c r="I66">
        <v>5</v>
      </c>
      <c r="J66" s="5">
        <v>0.1</v>
      </c>
      <c r="K66">
        <v>8716.0300000000007</v>
      </c>
      <c r="L66" t="s">
        <v>31</v>
      </c>
      <c r="M66" s="16">
        <f t="shared" ref="M66:M129" si="1">DATE(YEAR(B66),MONTH(B66),1)</f>
        <v>45689</v>
      </c>
    </row>
    <row r="67" spans="1:13" x14ac:dyDescent="0.3">
      <c r="A67" t="s">
        <v>169</v>
      </c>
      <c r="B67" s="3">
        <v>45705.414829659319</v>
      </c>
      <c r="C67" t="s">
        <v>170</v>
      </c>
      <c r="D67" t="s">
        <v>114</v>
      </c>
      <c r="E67" t="s">
        <v>114</v>
      </c>
      <c r="F67" t="s">
        <v>56</v>
      </c>
      <c r="G67" t="s">
        <v>35</v>
      </c>
      <c r="H67" s="4">
        <v>3024.94</v>
      </c>
      <c r="I67">
        <v>3</v>
      </c>
      <c r="J67" s="5">
        <v>0</v>
      </c>
      <c r="K67">
        <v>411.97</v>
      </c>
      <c r="L67" t="s">
        <v>25</v>
      </c>
      <c r="M67" s="16">
        <f t="shared" si="1"/>
        <v>45689</v>
      </c>
    </row>
    <row r="68" spans="1:13" x14ac:dyDescent="0.3">
      <c r="A68" t="s">
        <v>171</v>
      </c>
      <c r="B68" s="3">
        <v>45706.144288577147</v>
      </c>
      <c r="C68" t="s">
        <v>172</v>
      </c>
      <c r="D68" t="s">
        <v>49</v>
      </c>
      <c r="E68" t="s">
        <v>50</v>
      </c>
      <c r="F68" t="s">
        <v>63</v>
      </c>
      <c r="G68" t="s">
        <v>17</v>
      </c>
      <c r="H68" s="4">
        <v>102653.58</v>
      </c>
      <c r="I68">
        <v>5</v>
      </c>
      <c r="J68" s="5">
        <v>0</v>
      </c>
      <c r="K68">
        <v>17732.349999999999</v>
      </c>
      <c r="L68" t="s">
        <v>25</v>
      </c>
      <c r="M68" s="16">
        <f t="shared" si="1"/>
        <v>45689</v>
      </c>
    </row>
    <row r="69" spans="1:13" x14ac:dyDescent="0.3">
      <c r="A69" t="s">
        <v>173</v>
      </c>
      <c r="B69" s="3">
        <v>45706.873747494988</v>
      </c>
      <c r="C69" t="s">
        <v>168</v>
      </c>
      <c r="D69" t="s">
        <v>61</v>
      </c>
      <c r="E69" t="s">
        <v>62</v>
      </c>
      <c r="F69" t="s">
        <v>106</v>
      </c>
      <c r="G69" t="s">
        <v>35</v>
      </c>
      <c r="H69" s="4">
        <v>1586.85</v>
      </c>
      <c r="I69">
        <v>1</v>
      </c>
      <c r="J69" s="5">
        <v>0.05</v>
      </c>
      <c r="K69">
        <v>137.19999999999999</v>
      </c>
      <c r="L69" t="s">
        <v>68</v>
      </c>
      <c r="M69" s="16">
        <f t="shared" si="1"/>
        <v>45689</v>
      </c>
    </row>
    <row r="70" spans="1:13" x14ac:dyDescent="0.3">
      <c r="A70" t="s">
        <v>174</v>
      </c>
      <c r="B70" s="3">
        <v>45707.603206412823</v>
      </c>
      <c r="C70" t="s">
        <v>175</v>
      </c>
      <c r="D70" t="s">
        <v>54</v>
      </c>
      <c r="E70" t="s">
        <v>55</v>
      </c>
      <c r="F70" t="s">
        <v>63</v>
      </c>
      <c r="G70" t="s">
        <v>17</v>
      </c>
      <c r="H70" s="4">
        <v>97895.11</v>
      </c>
      <c r="I70">
        <v>5</v>
      </c>
      <c r="J70" s="5">
        <v>0</v>
      </c>
      <c r="K70">
        <v>26246.3</v>
      </c>
      <c r="L70" t="s">
        <v>31</v>
      </c>
      <c r="M70" s="16">
        <f t="shared" si="1"/>
        <v>45689</v>
      </c>
    </row>
    <row r="71" spans="1:13" x14ac:dyDescent="0.3">
      <c r="A71" t="s">
        <v>176</v>
      </c>
      <c r="B71" s="3">
        <v>45708.332665330658</v>
      </c>
      <c r="C71" t="s">
        <v>177</v>
      </c>
      <c r="D71" t="s">
        <v>43</v>
      </c>
      <c r="E71" t="s">
        <v>44</v>
      </c>
      <c r="F71" t="s">
        <v>45</v>
      </c>
      <c r="G71" t="s">
        <v>46</v>
      </c>
      <c r="H71" s="4">
        <v>507.74</v>
      </c>
      <c r="I71">
        <v>2</v>
      </c>
      <c r="J71" s="5">
        <v>0</v>
      </c>
      <c r="K71">
        <v>82.38</v>
      </c>
      <c r="L71" t="s">
        <v>51</v>
      </c>
      <c r="M71" s="16">
        <f t="shared" si="1"/>
        <v>45689</v>
      </c>
    </row>
    <row r="72" spans="1:13" x14ac:dyDescent="0.3">
      <c r="A72" t="s">
        <v>178</v>
      </c>
      <c r="B72" s="3">
        <v>45709.062124248492</v>
      </c>
      <c r="C72" t="s">
        <v>179</v>
      </c>
      <c r="D72" t="s">
        <v>90</v>
      </c>
      <c r="E72" t="s">
        <v>44</v>
      </c>
      <c r="F72" t="s">
        <v>34</v>
      </c>
      <c r="G72" t="s">
        <v>35</v>
      </c>
      <c r="H72" s="4">
        <v>9190.17</v>
      </c>
      <c r="I72">
        <v>5</v>
      </c>
      <c r="J72" s="5">
        <v>0.05</v>
      </c>
      <c r="K72">
        <v>2259.25</v>
      </c>
      <c r="L72" t="s">
        <v>51</v>
      </c>
      <c r="M72" s="16">
        <f t="shared" si="1"/>
        <v>45689</v>
      </c>
    </row>
    <row r="73" spans="1:13" x14ac:dyDescent="0.3">
      <c r="A73" t="s">
        <v>180</v>
      </c>
      <c r="B73" s="3">
        <v>45709.791583166327</v>
      </c>
      <c r="C73" t="s">
        <v>152</v>
      </c>
      <c r="D73" t="s">
        <v>38</v>
      </c>
      <c r="E73" t="s">
        <v>39</v>
      </c>
      <c r="F73" t="s">
        <v>40</v>
      </c>
      <c r="G73" t="s">
        <v>17</v>
      </c>
      <c r="H73" s="4">
        <v>2135.25</v>
      </c>
      <c r="I73">
        <v>1</v>
      </c>
      <c r="J73" s="5">
        <v>0</v>
      </c>
      <c r="K73">
        <v>466.22</v>
      </c>
      <c r="L73" t="s">
        <v>18</v>
      </c>
      <c r="M73" s="16">
        <f t="shared" si="1"/>
        <v>45689</v>
      </c>
    </row>
    <row r="74" spans="1:13" x14ac:dyDescent="0.3">
      <c r="A74" t="s">
        <v>181</v>
      </c>
      <c r="B74" s="3">
        <v>45710.521042084169</v>
      </c>
      <c r="C74" t="s">
        <v>182</v>
      </c>
      <c r="D74" t="s">
        <v>114</v>
      </c>
      <c r="E74" t="s">
        <v>114</v>
      </c>
      <c r="F74" t="s">
        <v>75</v>
      </c>
      <c r="G74" t="s">
        <v>24</v>
      </c>
      <c r="H74" s="4">
        <v>40844.74</v>
      </c>
      <c r="I74">
        <v>5</v>
      </c>
      <c r="J74" s="5">
        <v>0.15</v>
      </c>
      <c r="K74">
        <v>6354.22</v>
      </c>
      <c r="L74" t="s">
        <v>31</v>
      </c>
      <c r="M74" s="16">
        <f t="shared" si="1"/>
        <v>45689</v>
      </c>
    </row>
    <row r="75" spans="1:13" x14ac:dyDescent="0.3">
      <c r="A75" t="s">
        <v>183</v>
      </c>
      <c r="B75" s="3">
        <v>45711.250501002003</v>
      </c>
      <c r="C75" t="s">
        <v>96</v>
      </c>
      <c r="D75" t="s">
        <v>71</v>
      </c>
      <c r="E75" t="s">
        <v>55</v>
      </c>
      <c r="F75" t="s">
        <v>16</v>
      </c>
      <c r="G75" t="s">
        <v>17</v>
      </c>
      <c r="H75" s="4">
        <v>13249.03</v>
      </c>
      <c r="I75">
        <v>1</v>
      </c>
      <c r="J75" s="5">
        <v>0.1</v>
      </c>
      <c r="K75">
        <v>2008.98</v>
      </c>
      <c r="L75" t="s">
        <v>51</v>
      </c>
      <c r="M75" s="16">
        <f t="shared" si="1"/>
        <v>45689</v>
      </c>
    </row>
    <row r="76" spans="1:13" x14ac:dyDescent="0.3">
      <c r="A76" t="s">
        <v>184</v>
      </c>
      <c r="B76" s="3">
        <v>45711.979959919838</v>
      </c>
      <c r="C76" t="s">
        <v>182</v>
      </c>
      <c r="D76" t="s">
        <v>73</v>
      </c>
      <c r="E76" t="s">
        <v>74</v>
      </c>
      <c r="F76" t="s">
        <v>30</v>
      </c>
      <c r="G76" t="s">
        <v>17</v>
      </c>
      <c r="H76" s="4">
        <v>76962.75</v>
      </c>
      <c r="I76">
        <v>3</v>
      </c>
      <c r="J76" s="5">
        <v>0.15</v>
      </c>
      <c r="K76">
        <v>14652.27</v>
      </c>
      <c r="L76" t="s">
        <v>31</v>
      </c>
      <c r="M76" s="16">
        <f t="shared" si="1"/>
        <v>45689</v>
      </c>
    </row>
    <row r="77" spans="1:13" x14ac:dyDescent="0.3">
      <c r="A77" t="s">
        <v>185</v>
      </c>
      <c r="B77" s="3">
        <v>45712.709418837672</v>
      </c>
      <c r="C77" t="s">
        <v>186</v>
      </c>
      <c r="D77" t="s">
        <v>14</v>
      </c>
      <c r="E77" t="s">
        <v>15</v>
      </c>
      <c r="F77" t="s">
        <v>106</v>
      </c>
      <c r="G77" t="s">
        <v>35</v>
      </c>
      <c r="H77" s="4">
        <v>7969.84</v>
      </c>
      <c r="I77">
        <v>5</v>
      </c>
      <c r="J77" s="5">
        <v>0.15</v>
      </c>
      <c r="K77">
        <v>2077.1799999999998</v>
      </c>
      <c r="L77" t="s">
        <v>51</v>
      </c>
      <c r="M77" s="16">
        <f t="shared" si="1"/>
        <v>45689</v>
      </c>
    </row>
    <row r="78" spans="1:13" x14ac:dyDescent="0.3">
      <c r="A78" t="s">
        <v>187</v>
      </c>
      <c r="B78" s="3">
        <v>45713.438877755507</v>
      </c>
      <c r="C78" t="s">
        <v>188</v>
      </c>
      <c r="D78" t="s">
        <v>43</v>
      </c>
      <c r="E78" t="s">
        <v>44</v>
      </c>
      <c r="F78" t="s">
        <v>30</v>
      </c>
      <c r="G78" t="s">
        <v>17</v>
      </c>
      <c r="H78" s="4">
        <v>71061.350000000006</v>
      </c>
      <c r="I78">
        <v>3</v>
      </c>
      <c r="J78" s="5">
        <v>0.1</v>
      </c>
      <c r="K78">
        <v>13465.36</v>
      </c>
      <c r="L78" t="s">
        <v>25</v>
      </c>
      <c r="M78" s="16">
        <f t="shared" si="1"/>
        <v>45689</v>
      </c>
    </row>
    <row r="79" spans="1:13" x14ac:dyDescent="0.3">
      <c r="A79" t="s">
        <v>189</v>
      </c>
      <c r="B79" s="3">
        <v>45714.168336673341</v>
      </c>
      <c r="C79" t="s">
        <v>190</v>
      </c>
      <c r="D79" t="s">
        <v>14</v>
      </c>
      <c r="E79" t="s">
        <v>15</v>
      </c>
      <c r="F79" t="s">
        <v>45</v>
      </c>
      <c r="G79" t="s">
        <v>46</v>
      </c>
      <c r="H79" s="4">
        <v>675.3</v>
      </c>
      <c r="I79">
        <v>3</v>
      </c>
      <c r="J79" s="5">
        <v>0.15</v>
      </c>
      <c r="K79">
        <v>116.06</v>
      </c>
      <c r="L79" t="s">
        <v>31</v>
      </c>
      <c r="M79" s="16">
        <f t="shared" si="1"/>
        <v>45689</v>
      </c>
    </row>
    <row r="80" spans="1:13" x14ac:dyDescent="0.3">
      <c r="A80" t="s">
        <v>191</v>
      </c>
      <c r="B80" s="3">
        <v>45714.897795591183</v>
      </c>
      <c r="C80" t="s">
        <v>192</v>
      </c>
      <c r="D80" t="s">
        <v>61</v>
      </c>
      <c r="E80" t="s">
        <v>62</v>
      </c>
      <c r="F80" t="s">
        <v>16</v>
      </c>
      <c r="G80" t="s">
        <v>17</v>
      </c>
      <c r="H80" s="4">
        <v>76076.649999999994</v>
      </c>
      <c r="I80">
        <v>5</v>
      </c>
      <c r="J80" s="5">
        <v>0.05</v>
      </c>
      <c r="K80">
        <v>11088.2</v>
      </c>
      <c r="L80" t="s">
        <v>31</v>
      </c>
      <c r="M80" s="16">
        <f t="shared" si="1"/>
        <v>45689</v>
      </c>
    </row>
    <row r="81" spans="1:13" x14ac:dyDescent="0.3">
      <c r="A81" t="s">
        <v>193</v>
      </c>
      <c r="B81" s="3">
        <v>45715.627254509018</v>
      </c>
      <c r="C81" t="s">
        <v>194</v>
      </c>
      <c r="D81" t="s">
        <v>14</v>
      </c>
      <c r="E81" t="s">
        <v>15</v>
      </c>
      <c r="F81" t="s">
        <v>75</v>
      </c>
      <c r="G81" t="s">
        <v>24</v>
      </c>
      <c r="H81" s="4">
        <v>21667.05</v>
      </c>
      <c r="I81">
        <v>3</v>
      </c>
      <c r="J81" s="5">
        <v>0.1</v>
      </c>
      <c r="K81">
        <v>2521.52</v>
      </c>
      <c r="L81" t="s">
        <v>18</v>
      </c>
      <c r="M81" s="16">
        <f t="shared" si="1"/>
        <v>45689</v>
      </c>
    </row>
    <row r="82" spans="1:13" x14ac:dyDescent="0.3">
      <c r="A82" t="s">
        <v>195</v>
      </c>
      <c r="B82" s="3">
        <v>45716.356713426852</v>
      </c>
      <c r="C82" t="s">
        <v>152</v>
      </c>
      <c r="D82" t="s">
        <v>71</v>
      </c>
      <c r="E82" t="s">
        <v>55</v>
      </c>
      <c r="F82" t="s">
        <v>34</v>
      </c>
      <c r="G82" t="s">
        <v>35</v>
      </c>
      <c r="H82" s="4">
        <v>9249.66</v>
      </c>
      <c r="I82">
        <v>5</v>
      </c>
      <c r="J82" s="5">
        <v>0.1</v>
      </c>
      <c r="K82">
        <v>1154.08</v>
      </c>
      <c r="L82" t="s">
        <v>51</v>
      </c>
      <c r="M82" s="16">
        <f t="shared" si="1"/>
        <v>45689</v>
      </c>
    </row>
    <row r="83" spans="1:13" x14ac:dyDescent="0.3">
      <c r="A83" t="s">
        <v>196</v>
      </c>
      <c r="B83" s="3">
        <v>45717.086172344687</v>
      </c>
      <c r="C83" t="s">
        <v>164</v>
      </c>
      <c r="D83" t="s">
        <v>61</v>
      </c>
      <c r="E83" t="s">
        <v>62</v>
      </c>
      <c r="F83" t="s">
        <v>45</v>
      </c>
      <c r="G83" t="s">
        <v>46</v>
      </c>
      <c r="H83" s="4">
        <v>966.99</v>
      </c>
      <c r="I83">
        <v>5</v>
      </c>
      <c r="J83" s="5">
        <v>0.1</v>
      </c>
      <c r="K83">
        <v>180.72</v>
      </c>
      <c r="L83" t="s">
        <v>51</v>
      </c>
      <c r="M83" s="16">
        <f t="shared" si="1"/>
        <v>45717</v>
      </c>
    </row>
    <row r="84" spans="1:13" x14ac:dyDescent="0.3">
      <c r="A84" t="s">
        <v>197</v>
      </c>
      <c r="B84" s="3">
        <v>45717.815631262521</v>
      </c>
      <c r="C84" t="s">
        <v>198</v>
      </c>
      <c r="D84" t="s">
        <v>90</v>
      </c>
      <c r="E84" t="s">
        <v>44</v>
      </c>
      <c r="F84" t="s">
        <v>45</v>
      </c>
      <c r="G84" t="s">
        <v>46</v>
      </c>
      <c r="H84" s="4">
        <v>1183.0899999999999</v>
      </c>
      <c r="I84">
        <v>5</v>
      </c>
      <c r="J84" s="5">
        <v>0</v>
      </c>
      <c r="K84">
        <v>208.49</v>
      </c>
      <c r="L84" t="s">
        <v>18</v>
      </c>
      <c r="M84" s="16">
        <f t="shared" si="1"/>
        <v>45717</v>
      </c>
    </row>
    <row r="85" spans="1:13" x14ac:dyDescent="0.3">
      <c r="A85" t="s">
        <v>199</v>
      </c>
      <c r="B85" s="3">
        <v>45718.545090180363</v>
      </c>
      <c r="C85" t="s">
        <v>170</v>
      </c>
      <c r="D85" t="s">
        <v>90</v>
      </c>
      <c r="E85" t="s">
        <v>44</v>
      </c>
      <c r="F85" t="s">
        <v>45</v>
      </c>
      <c r="G85" t="s">
        <v>46</v>
      </c>
      <c r="H85" s="4">
        <v>982.67</v>
      </c>
      <c r="I85">
        <v>4</v>
      </c>
      <c r="J85" s="5">
        <v>0.1</v>
      </c>
      <c r="K85">
        <v>114.88</v>
      </c>
      <c r="L85" t="s">
        <v>51</v>
      </c>
      <c r="M85" s="16">
        <f t="shared" si="1"/>
        <v>45717</v>
      </c>
    </row>
    <row r="86" spans="1:13" x14ac:dyDescent="0.3">
      <c r="A86" t="s">
        <v>200</v>
      </c>
      <c r="B86" s="3">
        <v>45719.274549098198</v>
      </c>
      <c r="C86" t="s">
        <v>133</v>
      </c>
      <c r="D86" t="s">
        <v>61</v>
      </c>
      <c r="E86" t="s">
        <v>62</v>
      </c>
      <c r="F86" t="s">
        <v>75</v>
      </c>
      <c r="G86" t="s">
        <v>24</v>
      </c>
      <c r="H86" s="4">
        <v>19336.34</v>
      </c>
      <c r="I86">
        <v>2</v>
      </c>
      <c r="J86" s="5">
        <v>0</v>
      </c>
      <c r="K86">
        <v>2523.15</v>
      </c>
      <c r="L86" t="s">
        <v>18</v>
      </c>
      <c r="M86" s="16">
        <f t="shared" si="1"/>
        <v>45717</v>
      </c>
    </row>
    <row r="87" spans="1:13" x14ac:dyDescent="0.3">
      <c r="A87" t="s">
        <v>201</v>
      </c>
      <c r="B87" s="3">
        <v>45720.004008016032</v>
      </c>
      <c r="C87" t="s">
        <v>202</v>
      </c>
      <c r="D87" t="s">
        <v>61</v>
      </c>
      <c r="E87" t="s">
        <v>62</v>
      </c>
      <c r="F87" t="s">
        <v>30</v>
      </c>
      <c r="G87" t="s">
        <v>17</v>
      </c>
      <c r="H87" s="4">
        <v>54505.91</v>
      </c>
      <c r="I87">
        <v>2</v>
      </c>
      <c r="J87" s="5">
        <v>0.05</v>
      </c>
      <c r="K87">
        <v>5503.67</v>
      </c>
      <c r="L87" t="s">
        <v>25</v>
      </c>
      <c r="M87" s="16">
        <f t="shared" si="1"/>
        <v>45717</v>
      </c>
    </row>
    <row r="88" spans="1:13" x14ac:dyDescent="0.3">
      <c r="A88" t="s">
        <v>203</v>
      </c>
      <c r="B88" s="3">
        <v>45720.733466933867</v>
      </c>
      <c r="C88" t="s">
        <v>168</v>
      </c>
      <c r="D88" t="s">
        <v>73</v>
      </c>
      <c r="E88" t="s">
        <v>74</v>
      </c>
      <c r="F88" t="s">
        <v>75</v>
      </c>
      <c r="G88" t="s">
        <v>24</v>
      </c>
      <c r="H88" s="4">
        <v>9919.92</v>
      </c>
      <c r="I88">
        <v>1</v>
      </c>
      <c r="J88" s="5">
        <v>0</v>
      </c>
      <c r="K88">
        <v>1855.69</v>
      </c>
      <c r="L88" t="s">
        <v>68</v>
      </c>
      <c r="M88" s="16">
        <f t="shared" si="1"/>
        <v>45717</v>
      </c>
    </row>
    <row r="89" spans="1:13" x14ac:dyDescent="0.3">
      <c r="A89" t="s">
        <v>204</v>
      </c>
      <c r="B89" s="3">
        <v>45721.462925851702</v>
      </c>
      <c r="C89" t="s">
        <v>205</v>
      </c>
      <c r="D89" t="s">
        <v>54</v>
      </c>
      <c r="E89" t="s">
        <v>55</v>
      </c>
      <c r="F89" t="s">
        <v>94</v>
      </c>
      <c r="G89" t="s">
        <v>46</v>
      </c>
      <c r="H89" s="4">
        <v>51652.69</v>
      </c>
      <c r="I89">
        <v>4</v>
      </c>
      <c r="J89" s="5">
        <v>0.1</v>
      </c>
      <c r="K89">
        <v>9086.56</v>
      </c>
      <c r="L89" t="s">
        <v>51</v>
      </c>
      <c r="M89" s="16">
        <f t="shared" si="1"/>
        <v>45717</v>
      </c>
    </row>
    <row r="90" spans="1:13" x14ac:dyDescent="0.3">
      <c r="A90" t="s">
        <v>206</v>
      </c>
      <c r="B90" s="3">
        <v>45722.192384769543</v>
      </c>
      <c r="C90" t="s">
        <v>207</v>
      </c>
      <c r="D90" t="s">
        <v>49</v>
      </c>
      <c r="E90" t="s">
        <v>50</v>
      </c>
      <c r="F90" t="s">
        <v>23</v>
      </c>
      <c r="G90" t="s">
        <v>24</v>
      </c>
      <c r="H90" s="4">
        <v>11620.45</v>
      </c>
      <c r="I90">
        <v>1</v>
      </c>
      <c r="J90" s="5">
        <v>0.05</v>
      </c>
      <c r="K90">
        <v>1713.89</v>
      </c>
      <c r="L90" t="s">
        <v>31</v>
      </c>
      <c r="M90" s="16">
        <f t="shared" si="1"/>
        <v>45717</v>
      </c>
    </row>
    <row r="91" spans="1:13" x14ac:dyDescent="0.3">
      <c r="A91" t="s">
        <v>209</v>
      </c>
      <c r="B91" s="3">
        <v>45722.921843687371</v>
      </c>
      <c r="C91" t="s">
        <v>210</v>
      </c>
      <c r="D91" t="s">
        <v>21</v>
      </c>
      <c r="E91" t="s">
        <v>22</v>
      </c>
      <c r="F91" t="s">
        <v>23</v>
      </c>
      <c r="G91" t="s">
        <v>24</v>
      </c>
      <c r="H91" s="4">
        <v>37128.92</v>
      </c>
      <c r="I91">
        <v>3</v>
      </c>
      <c r="J91" s="5">
        <v>0.1</v>
      </c>
      <c r="K91">
        <v>4731.91</v>
      </c>
      <c r="L91" t="s">
        <v>25</v>
      </c>
      <c r="M91" s="16">
        <f t="shared" si="1"/>
        <v>45717</v>
      </c>
    </row>
    <row r="92" spans="1:13" x14ac:dyDescent="0.3">
      <c r="A92" t="s">
        <v>211</v>
      </c>
      <c r="B92" s="3">
        <v>45723.651302605213</v>
      </c>
      <c r="C92" t="s">
        <v>53</v>
      </c>
      <c r="D92" t="s">
        <v>21</v>
      </c>
      <c r="E92" t="s">
        <v>22</v>
      </c>
      <c r="F92" t="s">
        <v>23</v>
      </c>
      <c r="G92" t="s">
        <v>24</v>
      </c>
      <c r="H92" s="4">
        <v>9439.9599999999991</v>
      </c>
      <c r="I92">
        <v>1</v>
      </c>
      <c r="J92" s="5">
        <v>0.1</v>
      </c>
      <c r="K92">
        <v>1530.02</v>
      </c>
      <c r="L92" t="s">
        <v>51</v>
      </c>
      <c r="M92" s="16">
        <f t="shared" si="1"/>
        <v>45717</v>
      </c>
    </row>
    <row r="93" spans="1:13" x14ac:dyDescent="0.3">
      <c r="A93" t="s">
        <v>212</v>
      </c>
      <c r="B93" s="3">
        <v>45724.380761523047</v>
      </c>
      <c r="C93" t="s">
        <v>170</v>
      </c>
      <c r="D93" t="s">
        <v>54</v>
      </c>
      <c r="E93" t="s">
        <v>55</v>
      </c>
      <c r="F93" t="s">
        <v>63</v>
      </c>
      <c r="G93" t="s">
        <v>17</v>
      </c>
      <c r="H93" s="4">
        <v>62251.48</v>
      </c>
      <c r="I93">
        <v>3</v>
      </c>
      <c r="J93" s="5">
        <v>0.15</v>
      </c>
      <c r="K93">
        <v>8191.08</v>
      </c>
      <c r="L93" t="s">
        <v>18</v>
      </c>
      <c r="M93" s="16">
        <f t="shared" si="1"/>
        <v>45717</v>
      </c>
    </row>
    <row r="94" spans="1:13" x14ac:dyDescent="0.3">
      <c r="A94" t="s">
        <v>213</v>
      </c>
      <c r="B94" s="3">
        <v>45725.110220440882</v>
      </c>
      <c r="C94" t="s">
        <v>113</v>
      </c>
      <c r="D94" t="s">
        <v>38</v>
      </c>
      <c r="E94" t="s">
        <v>39</v>
      </c>
      <c r="F94" t="s">
        <v>30</v>
      </c>
      <c r="G94" t="s">
        <v>17</v>
      </c>
      <c r="H94" s="4">
        <v>87336.86</v>
      </c>
      <c r="I94">
        <v>3</v>
      </c>
      <c r="J94" s="5">
        <v>0.05</v>
      </c>
      <c r="K94">
        <v>20427.97</v>
      </c>
      <c r="L94" t="s">
        <v>25</v>
      </c>
      <c r="M94" s="16">
        <f t="shared" si="1"/>
        <v>45717</v>
      </c>
    </row>
    <row r="95" spans="1:13" x14ac:dyDescent="0.3">
      <c r="A95" t="s">
        <v>214</v>
      </c>
      <c r="B95" s="3">
        <v>45725.839679358724</v>
      </c>
      <c r="C95" t="s">
        <v>210</v>
      </c>
      <c r="D95" t="s">
        <v>71</v>
      </c>
      <c r="E95" t="s">
        <v>55</v>
      </c>
      <c r="F95" t="s">
        <v>16</v>
      </c>
      <c r="G95" t="s">
        <v>17</v>
      </c>
      <c r="H95" s="4">
        <v>13493.02</v>
      </c>
      <c r="I95">
        <v>1</v>
      </c>
      <c r="J95" s="5">
        <v>0.1</v>
      </c>
      <c r="K95">
        <v>2987.98</v>
      </c>
      <c r="L95" t="s">
        <v>18</v>
      </c>
      <c r="M95" s="16">
        <f t="shared" si="1"/>
        <v>45717</v>
      </c>
    </row>
    <row r="96" spans="1:13" x14ac:dyDescent="0.3">
      <c r="A96" t="s">
        <v>215</v>
      </c>
      <c r="B96" s="3">
        <v>45726.569138276551</v>
      </c>
      <c r="C96" t="s">
        <v>216</v>
      </c>
      <c r="D96" t="s">
        <v>54</v>
      </c>
      <c r="E96" t="s">
        <v>55</v>
      </c>
      <c r="F96" t="s">
        <v>34</v>
      </c>
      <c r="G96" t="s">
        <v>35</v>
      </c>
      <c r="H96" s="4">
        <v>4440.25</v>
      </c>
      <c r="I96">
        <v>3</v>
      </c>
      <c r="J96" s="5">
        <v>0.05</v>
      </c>
      <c r="K96">
        <v>474.59</v>
      </c>
      <c r="L96" t="s">
        <v>25</v>
      </c>
      <c r="M96" s="16">
        <f t="shared" si="1"/>
        <v>45717</v>
      </c>
    </row>
    <row r="97" spans="1:13" x14ac:dyDescent="0.3">
      <c r="A97" t="s">
        <v>217</v>
      </c>
      <c r="B97" s="3">
        <v>45727.298597194393</v>
      </c>
      <c r="C97" t="s">
        <v>131</v>
      </c>
      <c r="D97" t="s">
        <v>43</v>
      </c>
      <c r="E97" t="s">
        <v>44</v>
      </c>
      <c r="F97" t="s">
        <v>23</v>
      </c>
      <c r="G97" t="s">
        <v>24</v>
      </c>
      <c r="H97" s="4">
        <v>21032.65</v>
      </c>
      <c r="I97">
        <v>2</v>
      </c>
      <c r="J97" s="5">
        <v>0</v>
      </c>
      <c r="K97">
        <v>1694.02</v>
      </c>
      <c r="L97" t="s">
        <v>18</v>
      </c>
      <c r="M97" s="16">
        <f t="shared" si="1"/>
        <v>45717</v>
      </c>
    </row>
    <row r="98" spans="1:13" x14ac:dyDescent="0.3">
      <c r="A98" t="s">
        <v>218</v>
      </c>
      <c r="B98" s="3">
        <v>45728.02805611222</v>
      </c>
      <c r="C98" t="s">
        <v>219</v>
      </c>
      <c r="D98" t="s">
        <v>90</v>
      </c>
      <c r="E98" t="s">
        <v>44</v>
      </c>
      <c r="F98" t="s">
        <v>106</v>
      </c>
      <c r="G98" t="s">
        <v>35</v>
      </c>
      <c r="H98" s="4">
        <v>8204.4599999999991</v>
      </c>
      <c r="I98">
        <v>4</v>
      </c>
      <c r="J98" s="5">
        <v>0</v>
      </c>
      <c r="K98">
        <v>1855.63</v>
      </c>
      <c r="L98" t="s">
        <v>25</v>
      </c>
      <c r="M98" s="16">
        <f t="shared" si="1"/>
        <v>45717</v>
      </c>
    </row>
    <row r="99" spans="1:13" x14ac:dyDescent="0.3">
      <c r="A99" t="s">
        <v>220</v>
      </c>
      <c r="B99" s="3">
        <v>45728.757515030047</v>
      </c>
      <c r="C99" t="s">
        <v>194</v>
      </c>
      <c r="D99" t="s">
        <v>71</v>
      </c>
      <c r="E99" t="s">
        <v>55</v>
      </c>
      <c r="F99" t="s">
        <v>40</v>
      </c>
      <c r="G99" t="s">
        <v>17</v>
      </c>
      <c r="H99" s="4">
        <v>2412.7600000000002</v>
      </c>
      <c r="I99">
        <v>1</v>
      </c>
      <c r="J99" s="5">
        <v>0.1</v>
      </c>
      <c r="K99">
        <v>599.25</v>
      </c>
      <c r="L99" t="s">
        <v>68</v>
      </c>
      <c r="M99" s="16">
        <f t="shared" si="1"/>
        <v>45717</v>
      </c>
    </row>
    <row r="100" spans="1:13" x14ac:dyDescent="0.3">
      <c r="A100" t="s">
        <v>221</v>
      </c>
      <c r="B100" s="3">
        <v>45729.486973947904</v>
      </c>
      <c r="C100" t="s">
        <v>37</v>
      </c>
      <c r="D100" t="s">
        <v>61</v>
      </c>
      <c r="E100" t="s">
        <v>62</v>
      </c>
      <c r="F100" t="s">
        <v>40</v>
      </c>
      <c r="G100" t="s">
        <v>17</v>
      </c>
      <c r="H100" s="4">
        <v>11324.02</v>
      </c>
      <c r="I100">
        <v>5</v>
      </c>
      <c r="J100" s="5">
        <v>0</v>
      </c>
      <c r="K100">
        <v>2341.2600000000002</v>
      </c>
      <c r="L100" t="s">
        <v>68</v>
      </c>
      <c r="M100" s="16">
        <f t="shared" si="1"/>
        <v>45717</v>
      </c>
    </row>
    <row r="101" spans="1:13" x14ac:dyDescent="0.3">
      <c r="A101" t="s">
        <v>222</v>
      </c>
      <c r="B101" s="3">
        <v>45730.216432865731</v>
      </c>
      <c r="C101" t="s">
        <v>162</v>
      </c>
      <c r="D101" t="s">
        <v>73</v>
      </c>
      <c r="E101" t="s">
        <v>74</v>
      </c>
      <c r="F101" t="s">
        <v>94</v>
      </c>
      <c r="G101" t="s">
        <v>46</v>
      </c>
      <c r="H101" s="4">
        <v>31206.92</v>
      </c>
      <c r="I101">
        <v>2</v>
      </c>
      <c r="J101" s="5">
        <v>0.05</v>
      </c>
      <c r="K101">
        <v>4849.21</v>
      </c>
      <c r="L101" t="s">
        <v>31</v>
      </c>
      <c r="M101" s="16">
        <f t="shared" si="1"/>
        <v>45717</v>
      </c>
    </row>
    <row r="102" spans="1:13" x14ac:dyDescent="0.3">
      <c r="A102" t="s">
        <v>223</v>
      </c>
      <c r="B102" s="3">
        <v>45730.945891783573</v>
      </c>
      <c r="C102" t="s">
        <v>224</v>
      </c>
      <c r="D102" t="s">
        <v>14</v>
      </c>
      <c r="E102" t="s">
        <v>15</v>
      </c>
      <c r="F102" t="s">
        <v>87</v>
      </c>
      <c r="G102" t="s">
        <v>17</v>
      </c>
      <c r="H102" s="4">
        <v>49982.81</v>
      </c>
      <c r="I102">
        <v>1</v>
      </c>
      <c r="J102" s="5">
        <v>0.05</v>
      </c>
      <c r="K102">
        <v>9315.3700000000008</v>
      </c>
      <c r="L102" t="s">
        <v>18</v>
      </c>
      <c r="M102" s="16">
        <f t="shared" si="1"/>
        <v>45717</v>
      </c>
    </row>
    <row r="103" spans="1:13" x14ac:dyDescent="0.3">
      <c r="A103" t="s">
        <v>225</v>
      </c>
      <c r="B103" s="3">
        <v>45731.6753507014</v>
      </c>
      <c r="C103" t="s">
        <v>135</v>
      </c>
      <c r="D103" t="s">
        <v>14</v>
      </c>
      <c r="E103" t="s">
        <v>15</v>
      </c>
      <c r="F103" t="s">
        <v>40</v>
      </c>
      <c r="G103" t="s">
        <v>17</v>
      </c>
      <c r="H103" s="4">
        <v>7397.97</v>
      </c>
      <c r="I103">
        <v>3</v>
      </c>
      <c r="J103" s="5">
        <v>0.05</v>
      </c>
      <c r="K103">
        <v>797.9</v>
      </c>
      <c r="L103" t="s">
        <v>18</v>
      </c>
      <c r="M103" s="16">
        <f t="shared" si="1"/>
        <v>45717</v>
      </c>
    </row>
    <row r="104" spans="1:13" x14ac:dyDescent="0.3">
      <c r="A104" t="s">
        <v>226</v>
      </c>
      <c r="B104" s="3">
        <v>45732.404809619227</v>
      </c>
      <c r="C104" t="s">
        <v>205</v>
      </c>
      <c r="D104" t="s">
        <v>54</v>
      </c>
      <c r="E104" t="s">
        <v>55</v>
      </c>
      <c r="F104" t="s">
        <v>56</v>
      </c>
      <c r="G104" t="s">
        <v>35</v>
      </c>
      <c r="H104" s="4">
        <v>849.16</v>
      </c>
      <c r="I104">
        <v>1</v>
      </c>
      <c r="J104" s="5">
        <v>0</v>
      </c>
      <c r="K104">
        <v>194.28</v>
      </c>
      <c r="L104" t="s">
        <v>51</v>
      </c>
      <c r="M104" s="16">
        <f t="shared" si="1"/>
        <v>45717</v>
      </c>
    </row>
    <row r="105" spans="1:13" x14ac:dyDescent="0.3">
      <c r="A105" t="s">
        <v>227</v>
      </c>
      <c r="B105" s="3">
        <v>45733.134268537069</v>
      </c>
      <c r="C105" t="s">
        <v>53</v>
      </c>
      <c r="D105" t="s">
        <v>73</v>
      </c>
      <c r="E105" t="s">
        <v>74</v>
      </c>
      <c r="F105" t="s">
        <v>106</v>
      </c>
      <c r="G105" t="s">
        <v>35</v>
      </c>
      <c r="H105" s="4">
        <v>5812.51</v>
      </c>
      <c r="I105">
        <v>3</v>
      </c>
      <c r="J105" s="5">
        <v>0</v>
      </c>
      <c r="K105">
        <v>1088.6600000000001</v>
      </c>
      <c r="L105" t="s">
        <v>25</v>
      </c>
      <c r="M105" s="16">
        <f t="shared" si="1"/>
        <v>45717</v>
      </c>
    </row>
    <row r="106" spans="1:13" x14ac:dyDescent="0.3">
      <c r="A106" t="s">
        <v>228</v>
      </c>
      <c r="B106" s="3">
        <v>45733.863727454911</v>
      </c>
      <c r="C106" t="s">
        <v>192</v>
      </c>
      <c r="D106" t="s">
        <v>49</v>
      </c>
      <c r="E106" t="s">
        <v>50</v>
      </c>
      <c r="F106" t="s">
        <v>23</v>
      </c>
      <c r="G106" t="s">
        <v>24</v>
      </c>
      <c r="H106" s="4">
        <v>56766.71</v>
      </c>
      <c r="I106">
        <v>5</v>
      </c>
      <c r="J106" s="5">
        <v>0.05</v>
      </c>
      <c r="K106">
        <v>13304.78</v>
      </c>
      <c r="L106" t="s">
        <v>18</v>
      </c>
      <c r="M106" s="16">
        <f t="shared" si="1"/>
        <v>45717</v>
      </c>
    </row>
    <row r="107" spans="1:13" x14ac:dyDescent="0.3">
      <c r="A107" t="s">
        <v>229</v>
      </c>
      <c r="B107" s="3">
        <v>45734.593186372753</v>
      </c>
      <c r="C107" t="s">
        <v>230</v>
      </c>
      <c r="D107" t="s">
        <v>54</v>
      </c>
      <c r="E107" t="s">
        <v>55</v>
      </c>
      <c r="F107" t="s">
        <v>16</v>
      </c>
      <c r="G107" t="s">
        <v>17</v>
      </c>
      <c r="H107" s="4">
        <v>24619.35</v>
      </c>
      <c r="I107">
        <v>2</v>
      </c>
      <c r="J107" s="5">
        <v>0.05</v>
      </c>
      <c r="K107">
        <v>2863.71</v>
      </c>
      <c r="L107" t="s">
        <v>51</v>
      </c>
      <c r="M107" s="16">
        <f t="shared" si="1"/>
        <v>45717</v>
      </c>
    </row>
    <row r="108" spans="1:13" x14ac:dyDescent="0.3">
      <c r="A108" t="s">
        <v>231</v>
      </c>
      <c r="B108" s="3">
        <v>45735.32264529058</v>
      </c>
      <c r="C108" t="s">
        <v>232</v>
      </c>
      <c r="D108" t="s">
        <v>21</v>
      </c>
      <c r="E108" t="s">
        <v>22</v>
      </c>
      <c r="F108" t="s">
        <v>63</v>
      </c>
      <c r="G108" t="s">
        <v>17</v>
      </c>
      <c r="H108" s="4">
        <v>40624.410000000003</v>
      </c>
      <c r="I108">
        <v>2</v>
      </c>
      <c r="J108" s="5">
        <v>0.1</v>
      </c>
      <c r="K108">
        <v>8217.9500000000007</v>
      </c>
      <c r="L108" t="s">
        <v>25</v>
      </c>
      <c r="M108" s="16">
        <f t="shared" si="1"/>
        <v>45717</v>
      </c>
    </row>
    <row r="109" spans="1:13" x14ac:dyDescent="0.3">
      <c r="A109" t="s">
        <v>233</v>
      </c>
      <c r="B109" s="3">
        <v>45736.052104208407</v>
      </c>
      <c r="C109" t="s">
        <v>58</v>
      </c>
      <c r="D109" t="s">
        <v>114</v>
      </c>
      <c r="E109" t="s">
        <v>114</v>
      </c>
      <c r="F109" t="s">
        <v>23</v>
      </c>
      <c r="G109" t="s">
        <v>24</v>
      </c>
      <c r="H109" s="4">
        <v>63730.3</v>
      </c>
      <c r="I109">
        <v>5</v>
      </c>
      <c r="J109" s="5">
        <v>0</v>
      </c>
      <c r="K109">
        <v>12443.83</v>
      </c>
      <c r="L109" t="s">
        <v>18</v>
      </c>
      <c r="M109" s="16">
        <f t="shared" si="1"/>
        <v>45717</v>
      </c>
    </row>
    <row r="110" spans="1:13" x14ac:dyDescent="0.3">
      <c r="A110" t="s">
        <v>234</v>
      </c>
      <c r="B110" s="3">
        <v>45736.781563126249</v>
      </c>
      <c r="C110" t="s">
        <v>205</v>
      </c>
      <c r="D110" t="s">
        <v>49</v>
      </c>
      <c r="E110" t="s">
        <v>50</v>
      </c>
      <c r="F110" t="s">
        <v>94</v>
      </c>
      <c r="G110" t="s">
        <v>46</v>
      </c>
      <c r="H110" s="4">
        <v>44336.33</v>
      </c>
      <c r="I110">
        <v>3</v>
      </c>
      <c r="J110" s="5">
        <v>0</v>
      </c>
      <c r="K110">
        <v>12279.76</v>
      </c>
      <c r="L110" t="s">
        <v>31</v>
      </c>
      <c r="M110" s="16">
        <f t="shared" si="1"/>
        <v>45717</v>
      </c>
    </row>
    <row r="111" spans="1:13" x14ac:dyDescent="0.3">
      <c r="A111" t="s">
        <v>235</v>
      </c>
      <c r="B111" s="3">
        <v>45737.511022044077</v>
      </c>
      <c r="C111" t="s">
        <v>236</v>
      </c>
      <c r="D111" t="s">
        <v>90</v>
      </c>
      <c r="E111" t="s">
        <v>44</v>
      </c>
      <c r="F111" t="s">
        <v>56</v>
      </c>
      <c r="G111" t="s">
        <v>35</v>
      </c>
      <c r="H111" s="4">
        <v>2635.23</v>
      </c>
      <c r="I111">
        <v>3</v>
      </c>
      <c r="J111" s="5">
        <v>0.05</v>
      </c>
      <c r="K111">
        <v>239.68</v>
      </c>
      <c r="L111" t="s">
        <v>25</v>
      </c>
      <c r="M111" s="16">
        <f t="shared" si="1"/>
        <v>45717</v>
      </c>
    </row>
    <row r="112" spans="1:13" x14ac:dyDescent="0.3">
      <c r="A112" t="s">
        <v>237</v>
      </c>
      <c r="B112" s="3">
        <v>45738.240480961918</v>
      </c>
      <c r="C112" t="s">
        <v>238</v>
      </c>
      <c r="D112" t="s">
        <v>38</v>
      </c>
      <c r="E112" t="s">
        <v>39</v>
      </c>
      <c r="F112" t="s">
        <v>106</v>
      </c>
      <c r="G112" t="s">
        <v>35</v>
      </c>
      <c r="H112" s="4">
        <v>3249.17</v>
      </c>
      <c r="I112">
        <v>2</v>
      </c>
      <c r="J112" s="5">
        <v>0.05</v>
      </c>
      <c r="K112">
        <v>609.15</v>
      </c>
      <c r="L112" t="s">
        <v>51</v>
      </c>
      <c r="M112" s="16">
        <f t="shared" si="1"/>
        <v>45717</v>
      </c>
    </row>
    <row r="113" spans="1:13" x14ac:dyDescent="0.3">
      <c r="A113" t="s">
        <v>239</v>
      </c>
      <c r="B113" s="3">
        <v>45738.96993987976</v>
      </c>
      <c r="C113" t="s">
        <v>142</v>
      </c>
      <c r="D113" t="s">
        <v>14</v>
      </c>
      <c r="E113" t="s">
        <v>15</v>
      </c>
      <c r="F113" t="s">
        <v>30</v>
      </c>
      <c r="G113" t="s">
        <v>17</v>
      </c>
      <c r="H113" s="4">
        <v>91591.9</v>
      </c>
      <c r="I113">
        <v>3</v>
      </c>
      <c r="J113" s="5">
        <v>0.05</v>
      </c>
      <c r="K113">
        <v>11441.75</v>
      </c>
      <c r="L113" t="s">
        <v>31</v>
      </c>
      <c r="M113" s="16">
        <f t="shared" si="1"/>
        <v>45717</v>
      </c>
    </row>
    <row r="114" spans="1:13" x14ac:dyDescent="0.3">
      <c r="A114" t="s">
        <v>240</v>
      </c>
      <c r="B114" s="3">
        <v>45739.699398797587</v>
      </c>
      <c r="C114" t="s">
        <v>113</v>
      </c>
      <c r="D114" t="s">
        <v>14</v>
      </c>
      <c r="E114" t="s">
        <v>15</v>
      </c>
      <c r="F114" t="s">
        <v>16</v>
      </c>
      <c r="G114" t="s">
        <v>17</v>
      </c>
      <c r="H114" s="4">
        <v>74776.17</v>
      </c>
      <c r="I114">
        <v>5</v>
      </c>
      <c r="J114" s="5">
        <v>0.05</v>
      </c>
      <c r="K114">
        <v>14664.93</v>
      </c>
      <c r="L114" t="s">
        <v>25</v>
      </c>
      <c r="M114" s="16">
        <f t="shared" si="1"/>
        <v>45717</v>
      </c>
    </row>
    <row r="115" spans="1:13" x14ac:dyDescent="0.3">
      <c r="A115" t="s">
        <v>241</v>
      </c>
      <c r="B115" s="3">
        <v>45740.428857715429</v>
      </c>
      <c r="C115" t="s">
        <v>48</v>
      </c>
      <c r="D115" t="s">
        <v>43</v>
      </c>
      <c r="E115" t="s">
        <v>44</v>
      </c>
      <c r="F115" t="s">
        <v>106</v>
      </c>
      <c r="G115" t="s">
        <v>35</v>
      </c>
      <c r="H115" s="4">
        <v>1300.9100000000001</v>
      </c>
      <c r="I115">
        <v>1</v>
      </c>
      <c r="J115" s="5">
        <v>0.2</v>
      </c>
      <c r="K115">
        <v>142.75</v>
      </c>
      <c r="L115" t="s">
        <v>25</v>
      </c>
      <c r="M115" s="16">
        <f t="shared" si="1"/>
        <v>45717</v>
      </c>
    </row>
    <row r="116" spans="1:13" x14ac:dyDescent="0.3">
      <c r="A116" t="s">
        <v>242</v>
      </c>
      <c r="B116" s="3">
        <v>45741.158316633257</v>
      </c>
      <c r="C116" t="s">
        <v>243</v>
      </c>
      <c r="D116" t="s">
        <v>49</v>
      </c>
      <c r="E116" t="s">
        <v>50</v>
      </c>
      <c r="F116" t="s">
        <v>87</v>
      </c>
      <c r="G116" t="s">
        <v>17</v>
      </c>
      <c r="H116" s="4">
        <v>49270.76</v>
      </c>
      <c r="I116">
        <v>1</v>
      </c>
      <c r="J116" s="5">
        <v>0.05</v>
      </c>
      <c r="K116">
        <v>8147.3</v>
      </c>
      <c r="L116" t="s">
        <v>68</v>
      </c>
      <c r="M116" s="16">
        <f t="shared" si="1"/>
        <v>45717</v>
      </c>
    </row>
    <row r="117" spans="1:13" x14ac:dyDescent="0.3">
      <c r="A117" t="s">
        <v>244</v>
      </c>
      <c r="B117" s="3">
        <v>45741.887775551098</v>
      </c>
      <c r="C117" t="s">
        <v>86</v>
      </c>
      <c r="D117" t="s">
        <v>90</v>
      </c>
      <c r="E117" t="s">
        <v>44</v>
      </c>
      <c r="F117" t="s">
        <v>23</v>
      </c>
      <c r="G117" t="s">
        <v>24</v>
      </c>
      <c r="H117" s="4">
        <v>26613.200000000001</v>
      </c>
      <c r="I117">
        <v>3</v>
      </c>
      <c r="J117" s="5">
        <v>0.15</v>
      </c>
      <c r="K117">
        <v>4541.75</v>
      </c>
      <c r="L117" t="s">
        <v>25</v>
      </c>
      <c r="M117" s="16">
        <f t="shared" si="1"/>
        <v>45717</v>
      </c>
    </row>
    <row r="118" spans="1:13" x14ac:dyDescent="0.3">
      <c r="A118" t="s">
        <v>245</v>
      </c>
      <c r="B118" s="3">
        <v>45742.617234468933</v>
      </c>
      <c r="C118" t="s">
        <v>133</v>
      </c>
      <c r="D118" t="s">
        <v>90</v>
      </c>
      <c r="E118" t="s">
        <v>44</v>
      </c>
      <c r="F118" t="s">
        <v>30</v>
      </c>
      <c r="G118" t="s">
        <v>17</v>
      </c>
      <c r="H118" s="4">
        <v>80691.490000000005</v>
      </c>
      <c r="I118">
        <v>3</v>
      </c>
      <c r="J118" s="5">
        <v>0</v>
      </c>
      <c r="K118">
        <v>20363.07</v>
      </c>
      <c r="L118" t="s">
        <v>51</v>
      </c>
      <c r="M118" s="16">
        <f t="shared" si="1"/>
        <v>45717</v>
      </c>
    </row>
    <row r="119" spans="1:13" x14ac:dyDescent="0.3">
      <c r="A119" t="s">
        <v>246</v>
      </c>
      <c r="B119" s="3">
        <v>45743.346693386768</v>
      </c>
      <c r="C119" t="s">
        <v>247</v>
      </c>
      <c r="D119" t="s">
        <v>73</v>
      </c>
      <c r="E119" t="s">
        <v>74</v>
      </c>
      <c r="F119" t="s">
        <v>40</v>
      </c>
      <c r="G119" t="s">
        <v>17</v>
      </c>
      <c r="H119" s="4">
        <v>4863.1000000000004</v>
      </c>
      <c r="I119">
        <v>2</v>
      </c>
      <c r="J119" s="5">
        <v>0</v>
      </c>
      <c r="K119">
        <v>540.92999999999995</v>
      </c>
      <c r="L119" t="s">
        <v>68</v>
      </c>
      <c r="M119" s="16">
        <f t="shared" si="1"/>
        <v>45717</v>
      </c>
    </row>
    <row r="120" spans="1:13" x14ac:dyDescent="0.3">
      <c r="A120" t="s">
        <v>248</v>
      </c>
      <c r="B120" s="3">
        <v>45744.076152304609</v>
      </c>
      <c r="C120" t="s">
        <v>170</v>
      </c>
      <c r="D120" t="s">
        <v>49</v>
      </c>
      <c r="E120" t="s">
        <v>50</v>
      </c>
      <c r="F120" t="s">
        <v>87</v>
      </c>
      <c r="G120" t="s">
        <v>17</v>
      </c>
      <c r="H120" s="4">
        <v>50412.54</v>
      </c>
      <c r="I120">
        <v>1</v>
      </c>
      <c r="J120" s="5">
        <v>0</v>
      </c>
      <c r="K120">
        <v>10807.37</v>
      </c>
      <c r="L120" t="s">
        <v>31</v>
      </c>
      <c r="M120" s="16">
        <f t="shared" si="1"/>
        <v>45717</v>
      </c>
    </row>
    <row r="121" spans="1:13" x14ac:dyDescent="0.3">
      <c r="A121" t="s">
        <v>249</v>
      </c>
      <c r="B121" s="3">
        <v>45744.805611222437</v>
      </c>
      <c r="C121" t="s">
        <v>250</v>
      </c>
      <c r="D121" t="s">
        <v>114</v>
      </c>
      <c r="E121" t="s">
        <v>114</v>
      </c>
      <c r="F121" t="s">
        <v>40</v>
      </c>
      <c r="G121" t="s">
        <v>17</v>
      </c>
      <c r="H121" s="4">
        <v>7843.68</v>
      </c>
      <c r="I121">
        <v>3</v>
      </c>
      <c r="J121" s="5">
        <v>0</v>
      </c>
      <c r="K121">
        <v>783.49</v>
      </c>
      <c r="L121" t="s">
        <v>18</v>
      </c>
      <c r="M121" s="16">
        <f t="shared" si="1"/>
        <v>45717</v>
      </c>
    </row>
    <row r="122" spans="1:13" x14ac:dyDescent="0.3">
      <c r="A122" t="s">
        <v>251</v>
      </c>
      <c r="B122" s="3">
        <v>45745.535070140279</v>
      </c>
      <c r="C122" t="s">
        <v>247</v>
      </c>
      <c r="D122" t="s">
        <v>54</v>
      </c>
      <c r="E122" t="s">
        <v>55</v>
      </c>
      <c r="F122" t="s">
        <v>16</v>
      </c>
      <c r="G122" t="s">
        <v>17</v>
      </c>
      <c r="H122" s="4">
        <v>59339.58</v>
      </c>
      <c r="I122">
        <v>5</v>
      </c>
      <c r="J122" s="5">
        <v>0.05</v>
      </c>
      <c r="K122">
        <v>8592.25</v>
      </c>
      <c r="L122" t="s">
        <v>51</v>
      </c>
      <c r="M122" s="16">
        <f t="shared" si="1"/>
        <v>45717</v>
      </c>
    </row>
    <row r="123" spans="1:13" x14ac:dyDescent="0.3">
      <c r="A123" t="s">
        <v>252</v>
      </c>
      <c r="B123" s="3">
        <v>45746.264529058113</v>
      </c>
      <c r="C123" t="s">
        <v>186</v>
      </c>
      <c r="D123" t="s">
        <v>14</v>
      </c>
      <c r="E123" t="s">
        <v>15</v>
      </c>
      <c r="F123" t="s">
        <v>87</v>
      </c>
      <c r="G123" t="s">
        <v>17</v>
      </c>
      <c r="H123" s="4">
        <v>235938.91</v>
      </c>
      <c r="I123">
        <v>5</v>
      </c>
      <c r="J123" s="5">
        <v>0</v>
      </c>
      <c r="K123">
        <v>46387.55</v>
      </c>
      <c r="L123" t="s">
        <v>51</v>
      </c>
      <c r="M123" s="16">
        <f t="shared" si="1"/>
        <v>45717</v>
      </c>
    </row>
    <row r="124" spans="1:13" x14ac:dyDescent="0.3">
      <c r="A124" t="s">
        <v>253</v>
      </c>
      <c r="B124" s="3">
        <v>45746.993987975948</v>
      </c>
      <c r="C124" t="s">
        <v>126</v>
      </c>
      <c r="D124" t="s">
        <v>90</v>
      </c>
      <c r="E124" t="s">
        <v>44</v>
      </c>
      <c r="F124" t="s">
        <v>106</v>
      </c>
      <c r="G124" t="s">
        <v>35</v>
      </c>
      <c r="H124" s="4">
        <v>5818.65</v>
      </c>
      <c r="I124">
        <v>4</v>
      </c>
      <c r="J124" s="5">
        <v>0.15</v>
      </c>
      <c r="K124">
        <v>887.99</v>
      </c>
      <c r="L124" t="s">
        <v>68</v>
      </c>
      <c r="M124" s="16">
        <f t="shared" si="1"/>
        <v>45717</v>
      </c>
    </row>
    <row r="125" spans="1:13" x14ac:dyDescent="0.3">
      <c r="A125" t="s">
        <v>254</v>
      </c>
      <c r="B125" s="3">
        <v>45747.723446893782</v>
      </c>
      <c r="C125" t="s">
        <v>198</v>
      </c>
      <c r="D125" t="s">
        <v>114</v>
      </c>
      <c r="E125" t="s">
        <v>114</v>
      </c>
      <c r="F125" t="s">
        <v>56</v>
      </c>
      <c r="G125" t="s">
        <v>35</v>
      </c>
      <c r="H125" s="4">
        <v>838.61</v>
      </c>
      <c r="I125">
        <v>1</v>
      </c>
      <c r="J125" s="5">
        <v>0.05</v>
      </c>
      <c r="K125">
        <v>226.17</v>
      </c>
      <c r="L125" t="s">
        <v>31</v>
      </c>
      <c r="M125" s="16">
        <f t="shared" si="1"/>
        <v>45717</v>
      </c>
    </row>
    <row r="126" spans="1:13" x14ac:dyDescent="0.3">
      <c r="A126" t="s">
        <v>255</v>
      </c>
      <c r="B126" s="3">
        <v>45748.452905811617</v>
      </c>
      <c r="C126" t="s">
        <v>70</v>
      </c>
      <c r="D126" t="s">
        <v>73</v>
      </c>
      <c r="E126" t="s">
        <v>74</v>
      </c>
      <c r="F126" t="s">
        <v>23</v>
      </c>
      <c r="G126" t="s">
        <v>24</v>
      </c>
      <c r="H126" s="4">
        <v>34221.99</v>
      </c>
      <c r="I126">
        <v>3</v>
      </c>
      <c r="J126" s="5">
        <v>0.15</v>
      </c>
      <c r="K126">
        <v>5648.09</v>
      </c>
      <c r="L126" t="s">
        <v>31</v>
      </c>
      <c r="M126" s="16">
        <f t="shared" si="1"/>
        <v>45748</v>
      </c>
    </row>
    <row r="127" spans="1:13" x14ac:dyDescent="0.3">
      <c r="A127" t="s">
        <v>256</v>
      </c>
      <c r="B127" s="3">
        <v>45749.182364729459</v>
      </c>
      <c r="C127" t="s">
        <v>207</v>
      </c>
      <c r="D127" t="s">
        <v>49</v>
      </c>
      <c r="E127" t="s">
        <v>50</v>
      </c>
      <c r="F127" t="s">
        <v>30</v>
      </c>
      <c r="G127" t="s">
        <v>17</v>
      </c>
      <c r="H127" s="4">
        <v>145614.75</v>
      </c>
      <c r="I127">
        <v>5</v>
      </c>
      <c r="J127" s="5">
        <v>0</v>
      </c>
      <c r="K127">
        <v>30435.06</v>
      </c>
      <c r="L127" t="s">
        <v>51</v>
      </c>
      <c r="M127" s="16">
        <f t="shared" si="1"/>
        <v>45748</v>
      </c>
    </row>
    <row r="128" spans="1:13" x14ac:dyDescent="0.3">
      <c r="A128" t="s">
        <v>257</v>
      </c>
      <c r="B128" s="3">
        <v>45749.911823647293</v>
      </c>
      <c r="C128" t="s">
        <v>37</v>
      </c>
      <c r="D128" t="s">
        <v>43</v>
      </c>
      <c r="E128" t="s">
        <v>44</v>
      </c>
      <c r="F128" t="s">
        <v>75</v>
      </c>
      <c r="G128" t="s">
        <v>24</v>
      </c>
      <c r="H128" s="4">
        <v>30798.62</v>
      </c>
      <c r="I128">
        <v>5</v>
      </c>
      <c r="J128" s="5">
        <v>0.2</v>
      </c>
      <c r="K128">
        <v>3189.2</v>
      </c>
      <c r="L128" t="s">
        <v>51</v>
      </c>
      <c r="M128" s="16">
        <f t="shared" si="1"/>
        <v>45748</v>
      </c>
    </row>
    <row r="129" spans="1:13" x14ac:dyDescent="0.3">
      <c r="A129" t="s">
        <v>258</v>
      </c>
      <c r="B129" s="3">
        <v>45750.641282565128</v>
      </c>
      <c r="C129" t="s">
        <v>210</v>
      </c>
      <c r="D129" t="s">
        <v>90</v>
      </c>
      <c r="E129" t="s">
        <v>44</v>
      </c>
      <c r="F129" t="s">
        <v>106</v>
      </c>
      <c r="G129" t="s">
        <v>35</v>
      </c>
      <c r="H129" s="4">
        <v>1618.77</v>
      </c>
      <c r="I129">
        <v>1</v>
      </c>
      <c r="J129" s="5">
        <v>0.1</v>
      </c>
      <c r="K129">
        <v>164.01</v>
      </c>
      <c r="L129" t="s">
        <v>18</v>
      </c>
      <c r="M129" s="16">
        <f t="shared" si="1"/>
        <v>45748</v>
      </c>
    </row>
    <row r="130" spans="1:13" x14ac:dyDescent="0.3">
      <c r="A130" t="s">
        <v>259</v>
      </c>
      <c r="B130" s="3">
        <v>45751.370741482962</v>
      </c>
      <c r="C130" t="s">
        <v>216</v>
      </c>
      <c r="D130" t="s">
        <v>38</v>
      </c>
      <c r="E130" t="s">
        <v>39</v>
      </c>
      <c r="F130" t="s">
        <v>56</v>
      </c>
      <c r="G130" t="s">
        <v>35</v>
      </c>
      <c r="H130" s="4">
        <v>2501.0100000000002</v>
      </c>
      <c r="I130">
        <v>3</v>
      </c>
      <c r="J130" s="5">
        <v>0.1</v>
      </c>
      <c r="K130">
        <v>532.73</v>
      </c>
      <c r="L130" t="s">
        <v>68</v>
      </c>
      <c r="M130" s="16">
        <f t="shared" ref="M130:M193" si="2">DATE(YEAR(B130),MONTH(B130),1)</f>
        <v>45748</v>
      </c>
    </row>
    <row r="131" spans="1:13" x14ac:dyDescent="0.3">
      <c r="A131" t="s">
        <v>260</v>
      </c>
      <c r="B131" s="3">
        <v>45752.100200400797</v>
      </c>
      <c r="C131" t="s">
        <v>261</v>
      </c>
      <c r="D131" t="s">
        <v>90</v>
      </c>
      <c r="E131" t="s">
        <v>44</v>
      </c>
      <c r="F131" t="s">
        <v>45</v>
      </c>
      <c r="G131" t="s">
        <v>46</v>
      </c>
      <c r="H131" s="4">
        <v>1085.56</v>
      </c>
      <c r="I131">
        <v>5</v>
      </c>
      <c r="J131" s="5">
        <v>0.1</v>
      </c>
      <c r="K131">
        <v>97.04</v>
      </c>
      <c r="L131" t="s">
        <v>18</v>
      </c>
      <c r="M131" s="16">
        <f t="shared" si="2"/>
        <v>45748</v>
      </c>
    </row>
    <row r="132" spans="1:13" x14ac:dyDescent="0.3">
      <c r="A132" t="s">
        <v>262</v>
      </c>
      <c r="B132" s="3">
        <v>45752.829659318631</v>
      </c>
      <c r="C132" t="s">
        <v>232</v>
      </c>
      <c r="D132" t="s">
        <v>90</v>
      </c>
      <c r="E132" t="s">
        <v>44</v>
      </c>
      <c r="F132" t="s">
        <v>40</v>
      </c>
      <c r="G132" t="s">
        <v>17</v>
      </c>
      <c r="H132" s="4">
        <v>12886.82</v>
      </c>
      <c r="I132">
        <v>5</v>
      </c>
      <c r="J132" s="5">
        <v>0</v>
      </c>
      <c r="K132">
        <v>2034.3</v>
      </c>
      <c r="L132" t="s">
        <v>31</v>
      </c>
      <c r="M132" s="16">
        <f t="shared" si="2"/>
        <v>45748</v>
      </c>
    </row>
    <row r="133" spans="1:13" x14ac:dyDescent="0.3">
      <c r="A133" t="s">
        <v>263</v>
      </c>
      <c r="B133" s="3">
        <v>45753.559118236473</v>
      </c>
      <c r="C133" t="s">
        <v>210</v>
      </c>
      <c r="D133" t="s">
        <v>21</v>
      </c>
      <c r="E133" t="s">
        <v>22</v>
      </c>
      <c r="F133" t="s">
        <v>75</v>
      </c>
      <c r="G133" t="s">
        <v>24</v>
      </c>
      <c r="H133" s="4">
        <v>29107.42</v>
      </c>
      <c r="I133">
        <v>3</v>
      </c>
      <c r="J133" s="5">
        <v>0.05</v>
      </c>
      <c r="K133">
        <v>7882.8</v>
      </c>
      <c r="L133" t="s">
        <v>31</v>
      </c>
      <c r="M133" s="16">
        <f t="shared" si="2"/>
        <v>45748</v>
      </c>
    </row>
    <row r="134" spans="1:13" x14ac:dyDescent="0.3">
      <c r="A134" t="s">
        <v>264</v>
      </c>
      <c r="B134" s="3">
        <v>45754.288577154308</v>
      </c>
      <c r="C134" t="s">
        <v>265</v>
      </c>
      <c r="D134" t="s">
        <v>73</v>
      </c>
      <c r="E134" t="s">
        <v>74</v>
      </c>
      <c r="F134" t="s">
        <v>16</v>
      </c>
      <c r="G134" t="s">
        <v>17</v>
      </c>
      <c r="H134" s="4">
        <v>42773.56</v>
      </c>
      <c r="I134">
        <v>4</v>
      </c>
      <c r="J134" s="5">
        <v>0.15</v>
      </c>
      <c r="K134">
        <v>10662.66</v>
      </c>
      <c r="L134" t="s">
        <v>31</v>
      </c>
      <c r="M134" s="16">
        <f t="shared" si="2"/>
        <v>45748</v>
      </c>
    </row>
    <row r="135" spans="1:13" x14ac:dyDescent="0.3">
      <c r="A135" t="s">
        <v>266</v>
      </c>
      <c r="B135" s="3">
        <v>45755.018036072142</v>
      </c>
      <c r="C135" t="s">
        <v>267</v>
      </c>
      <c r="D135" t="s">
        <v>73</v>
      </c>
      <c r="E135" t="s">
        <v>74</v>
      </c>
      <c r="F135" t="s">
        <v>30</v>
      </c>
      <c r="G135" t="s">
        <v>17</v>
      </c>
      <c r="H135" s="4">
        <v>135847.41</v>
      </c>
      <c r="I135">
        <v>5</v>
      </c>
      <c r="J135" s="5">
        <v>0.05</v>
      </c>
      <c r="K135">
        <v>22083.18</v>
      </c>
      <c r="L135" t="s">
        <v>51</v>
      </c>
      <c r="M135" s="16">
        <f t="shared" si="2"/>
        <v>45748</v>
      </c>
    </row>
    <row r="136" spans="1:13" x14ac:dyDescent="0.3">
      <c r="A136" t="s">
        <v>268</v>
      </c>
      <c r="B136" s="3">
        <v>45755.747494989977</v>
      </c>
      <c r="C136" t="s">
        <v>269</v>
      </c>
      <c r="D136" t="s">
        <v>38</v>
      </c>
      <c r="E136" t="s">
        <v>39</v>
      </c>
      <c r="F136" t="s">
        <v>75</v>
      </c>
      <c r="G136" t="s">
        <v>24</v>
      </c>
      <c r="H136" s="4">
        <v>25147.02</v>
      </c>
      <c r="I136">
        <v>3</v>
      </c>
      <c r="J136" s="5">
        <v>0.15</v>
      </c>
      <c r="K136">
        <v>5505.67</v>
      </c>
      <c r="L136" t="s">
        <v>25</v>
      </c>
      <c r="M136" s="16">
        <f t="shared" si="2"/>
        <v>45748</v>
      </c>
    </row>
    <row r="137" spans="1:13" x14ac:dyDescent="0.3">
      <c r="A137" t="s">
        <v>270</v>
      </c>
      <c r="B137" s="3">
        <v>45756.476953907812</v>
      </c>
      <c r="C137" t="s">
        <v>154</v>
      </c>
      <c r="D137" t="s">
        <v>71</v>
      </c>
      <c r="E137" t="s">
        <v>55</v>
      </c>
      <c r="F137" t="s">
        <v>106</v>
      </c>
      <c r="G137" t="s">
        <v>35</v>
      </c>
      <c r="H137" s="4">
        <v>6291.24</v>
      </c>
      <c r="I137">
        <v>4</v>
      </c>
      <c r="J137" s="5">
        <v>0.2</v>
      </c>
      <c r="K137">
        <v>1497.33</v>
      </c>
      <c r="L137" t="s">
        <v>31</v>
      </c>
      <c r="M137" s="16">
        <f t="shared" si="2"/>
        <v>45748</v>
      </c>
    </row>
    <row r="138" spans="1:13" x14ac:dyDescent="0.3">
      <c r="A138" t="s">
        <v>271</v>
      </c>
      <c r="B138" s="3">
        <v>45757.206412825653</v>
      </c>
      <c r="C138" t="s">
        <v>48</v>
      </c>
      <c r="D138" t="s">
        <v>61</v>
      </c>
      <c r="E138" t="s">
        <v>62</v>
      </c>
      <c r="F138" t="s">
        <v>23</v>
      </c>
      <c r="G138" t="s">
        <v>24</v>
      </c>
      <c r="H138" s="4">
        <v>32731.83</v>
      </c>
      <c r="I138">
        <v>3</v>
      </c>
      <c r="J138" s="5">
        <v>0.15</v>
      </c>
      <c r="K138">
        <v>6931.18</v>
      </c>
      <c r="L138" t="s">
        <v>31</v>
      </c>
      <c r="M138" s="16">
        <f t="shared" si="2"/>
        <v>45748</v>
      </c>
    </row>
    <row r="139" spans="1:13" x14ac:dyDescent="0.3">
      <c r="A139" t="s">
        <v>272</v>
      </c>
      <c r="B139" s="3">
        <v>45757.935871743481</v>
      </c>
      <c r="C139" t="s">
        <v>118</v>
      </c>
      <c r="D139" t="s">
        <v>43</v>
      </c>
      <c r="E139" t="s">
        <v>44</v>
      </c>
      <c r="F139" t="s">
        <v>94</v>
      </c>
      <c r="G139" t="s">
        <v>46</v>
      </c>
      <c r="H139" s="4">
        <v>43985.42</v>
      </c>
      <c r="I139">
        <v>4</v>
      </c>
      <c r="J139" s="5">
        <v>0.2</v>
      </c>
      <c r="K139">
        <v>11823.8</v>
      </c>
      <c r="L139" t="s">
        <v>31</v>
      </c>
      <c r="M139" s="16">
        <f t="shared" si="2"/>
        <v>45748</v>
      </c>
    </row>
    <row r="140" spans="1:13" x14ac:dyDescent="0.3">
      <c r="A140" t="s">
        <v>273</v>
      </c>
      <c r="B140" s="3">
        <v>45758.665330661323</v>
      </c>
      <c r="C140" t="s">
        <v>60</v>
      </c>
      <c r="D140" t="s">
        <v>14</v>
      </c>
      <c r="E140" t="s">
        <v>15</v>
      </c>
      <c r="F140" t="s">
        <v>45</v>
      </c>
      <c r="G140" t="s">
        <v>46</v>
      </c>
      <c r="H140" s="4">
        <v>1177.95</v>
      </c>
      <c r="I140">
        <v>5</v>
      </c>
      <c r="J140" s="5">
        <v>0.05</v>
      </c>
      <c r="K140">
        <v>122.63</v>
      </c>
      <c r="L140" t="s">
        <v>18</v>
      </c>
      <c r="M140" s="16">
        <f t="shared" si="2"/>
        <v>45748</v>
      </c>
    </row>
    <row r="141" spans="1:13" x14ac:dyDescent="0.3">
      <c r="A141" t="s">
        <v>274</v>
      </c>
      <c r="B141" s="3">
        <v>45759.394789579157</v>
      </c>
      <c r="C141" t="s">
        <v>133</v>
      </c>
      <c r="D141" t="s">
        <v>49</v>
      </c>
      <c r="E141" t="s">
        <v>50</v>
      </c>
      <c r="F141" t="s">
        <v>30</v>
      </c>
      <c r="G141" t="s">
        <v>17</v>
      </c>
      <c r="H141" s="4">
        <v>96895.44</v>
      </c>
      <c r="I141">
        <v>3</v>
      </c>
      <c r="J141" s="5">
        <v>0.05</v>
      </c>
      <c r="K141">
        <v>24457.24</v>
      </c>
      <c r="L141" t="s">
        <v>51</v>
      </c>
      <c r="M141" s="16">
        <f t="shared" si="2"/>
        <v>45748</v>
      </c>
    </row>
    <row r="142" spans="1:13" x14ac:dyDescent="0.3">
      <c r="A142" t="s">
        <v>275</v>
      </c>
      <c r="B142" s="3">
        <v>45760.124248496992</v>
      </c>
      <c r="C142" t="s">
        <v>144</v>
      </c>
      <c r="D142" t="s">
        <v>90</v>
      </c>
      <c r="E142" t="s">
        <v>22</v>
      </c>
      <c r="F142" t="s">
        <v>45</v>
      </c>
      <c r="G142" t="s">
        <v>46</v>
      </c>
      <c r="H142" s="4">
        <v>248.2</v>
      </c>
      <c r="I142">
        <v>1</v>
      </c>
      <c r="J142" s="5">
        <v>0.05</v>
      </c>
      <c r="K142">
        <v>47.69</v>
      </c>
      <c r="L142" t="s">
        <v>68</v>
      </c>
      <c r="M142" s="16">
        <f t="shared" si="2"/>
        <v>45748</v>
      </c>
    </row>
    <row r="143" spans="1:13" x14ac:dyDescent="0.3">
      <c r="A143" t="s">
        <v>277</v>
      </c>
      <c r="B143" s="3">
        <v>45760.853707414833</v>
      </c>
      <c r="C143" t="s">
        <v>135</v>
      </c>
      <c r="D143" t="s">
        <v>21</v>
      </c>
      <c r="E143" t="s">
        <v>22</v>
      </c>
      <c r="F143" t="s">
        <v>23</v>
      </c>
      <c r="G143" t="s">
        <v>24</v>
      </c>
      <c r="H143" s="4">
        <v>25618.32</v>
      </c>
      <c r="I143">
        <v>2</v>
      </c>
      <c r="J143" s="5">
        <v>0</v>
      </c>
      <c r="K143">
        <v>3664.91</v>
      </c>
      <c r="L143" t="s">
        <v>68</v>
      </c>
      <c r="M143" s="16">
        <f t="shared" si="2"/>
        <v>45748</v>
      </c>
    </row>
    <row r="144" spans="1:13" x14ac:dyDescent="0.3">
      <c r="A144" t="s">
        <v>278</v>
      </c>
      <c r="B144" s="3">
        <v>45761.583166332661</v>
      </c>
      <c r="C144" t="s">
        <v>247</v>
      </c>
      <c r="D144" t="s">
        <v>28</v>
      </c>
      <c r="E144" t="s">
        <v>29</v>
      </c>
      <c r="F144" t="s">
        <v>94</v>
      </c>
      <c r="G144" t="s">
        <v>46</v>
      </c>
      <c r="H144" s="4">
        <v>66157.679999999993</v>
      </c>
      <c r="I144">
        <v>5</v>
      </c>
      <c r="J144" s="5">
        <v>0.15</v>
      </c>
      <c r="K144">
        <v>13441.43</v>
      </c>
      <c r="L144" t="s">
        <v>18</v>
      </c>
      <c r="M144" s="16">
        <f t="shared" si="2"/>
        <v>45748</v>
      </c>
    </row>
    <row r="145" spans="1:13" x14ac:dyDescent="0.3">
      <c r="A145" t="s">
        <v>279</v>
      </c>
      <c r="B145" s="3">
        <v>45762.312625250503</v>
      </c>
      <c r="C145" t="s">
        <v>33</v>
      </c>
      <c r="D145" t="s">
        <v>73</v>
      </c>
      <c r="E145" t="s">
        <v>74</v>
      </c>
      <c r="F145" t="s">
        <v>30</v>
      </c>
      <c r="G145" t="s">
        <v>17</v>
      </c>
      <c r="H145" s="4">
        <v>90105.26</v>
      </c>
      <c r="I145">
        <v>3</v>
      </c>
      <c r="J145" s="5">
        <v>0.1</v>
      </c>
      <c r="K145">
        <v>24131.41</v>
      </c>
      <c r="L145" t="s">
        <v>25</v>
      </c>
      <c r="M145" s="16">
        <f t="shared" si="2"/>
        <v>45748</v>
      </c>
    </row>
    <row r="146" spans="1:13" x14ac:dyDescent="0.3">
      <c r="A146" t="s">
        <v>280</v>
      </c>
      <c r="B146" s="3">
        <v>45763.04208416833</v>
      </c>
      <c r="C146" t="s">
        <v>58</v>
      </c>
      <c r="D146" t="s">
        <v>90</v>
      </c>
      <c r="E146" t="s">
        <v>44</v>
      </c>
      <c r="F146" t="s">
        <v>106</v>
      </c>
      <c r="G146" t="s">
        <v>35</v>
      </c>
      <c r="H146" s="4">
        <v>6354.1</v>
      </c>
      <c r="I146">
        <v>4</v>
      </c>
      <c r="J146" s="5">
        <v>0.15</v>
      </c>
      <c r="K146">
        <v>1758.92</v>
      </c>
      <c r="L146" t="s">
        <v>25</v>
      </c>
      <c r="M146" s="16">
        <f t="shared" si="2"/>
        <v>45748</v>
      </c>
    </row>
    <row r="147" spans="1:13" x14ac:dyDescent="0.3">
      <c r="A147" t="s">
        <v>281</v>
      </c>
      <c r="B147" s="3">
        <v>45763.771543086172</v>
      </c>
      <c r="C147" t="s">
        <v>282</v>
      </c>
      <c r="D147" t="s">
        <v>114</v>
      </c>
      <c r="E147" t="s">
        <v>114</v>
      </c>
      <c r="F147" t="s">
        <v>87</v>
      </c>
      <c r="G147" t="s">
        <v>17</v>
      </c>
      <c r="H147" s="4">
        <v>46144.18</v>
      </c>
      <c r="I147">
        <v>1</v>
      </c>
      <c r="J147" s="5">
        <v>0.05</v>
      </c>
      <c r="K147">
        <v>6342.42</v>
      </c>
      <c r="L147" t="s">
        <v>68</v>
      </c>
      <c r="M147" s="16">
        <f t="shared" si="2"/>
        <v>45748</v>
      </c>
    </row>
    <row r="148" spans="1:13" x14ac:dyDescent="0.3">
      <c r="A148" t="s">
        <v>283</v>
      </c>
      <c r="B148" s="3">
        <v>45764.501002004014</v>
      </c>
      <c r="C148" t="s">
        <v>232</v>
      </c>
      <c r="D148" t="s">
        <v>38</v>
      </c>
      <c r="E148" t="s">
        <v>39</v>
      </c>
      <c r="F148" t="s">
        <v>87</v>
      </c>
      <c r="G148" t="s">
        <v>17</v>
      </c>
      <c r="H148" s="4">
        <v>299475.24</v>
      </c>
      <c r="I148">
        <v>5</v>
      </c>
      <c r="J148" s="5">
        <v>0.05</v>
      </c>
      <c r="K148">
        <v>46977.279999999999</v>
      </c>
      <c r="L148" t="s">
        <v>25</v>
      </c>
      <c r="M148" s="16">
        <f t="shared" si="2"/>
        <v>45748</v>
      </c>
    </row>
    <row r="149" spans="1:13" x14ac:dyDescent="0.3">
      <c r="A149" t="s">
        <v>284</v>
      </c>
      <c r="B149" s="3">
        <v>45765.230460921841</v>
      </c>
      <c r="C149" t="s">
        <v>250</v>
      </c>
      <c r="D149" t="s">
        <v>21</v>
      </c>
      <c r="E149" t="s">
        <v>22</v>
      </c>
      <c r="F149" t="s">
        <v>45</v>
      </c>
      <c r="G149" t="s">
        <v>46</v>
      </c>
      <c r="H149" s="4">
        <v>1357.38</v>
      </c>
      <c r="I149">
        <v>5</v>
      </c>
      <c r="J149" s="5">
        <v>0</v>
      </c>
      <c r="K149">
        <v>221.95</v>
      </c>
      <c r="L149" t="s">
        <v>18</v>
      </c>
      <c r="M149" s="16">
        <f t="shared" si="2"/>
        <v>45748</v>
      </c>
    </row>
    <row r="150" spans="1:13" x14ac:dyDescent="0.3">
      <c r="A150" t="s">
        <v>285</v>
      </c>
      <c r="B150" s="3">
        <v>45765.959919839683</v>
      </c>
      <c r="C150" t="s">
        <v>210</v>
      </c>
      <c r="D150" t="s">
        <v>43</v>
      </c>
      <c r="E150" t="s">
        <v>44</v>
      </c>
      <c r="F150" t="s">
        <v>94</v>
      </c>
      <c r="G150" t="s">
        <v>46</v>
      </c>
      <c r="H150" s="4">
        <v>49561.27</v>
      </c>
      <c r="I150">
        <v>4</v>
      </c>
      <c r="J150" s="5">
        <v>0.05</v>
      </c>
      <c r="K150">
        <v>12269.64</v>
      </c>
      <c r="L150" t="s">
        <v>18</v>
      </c>
      <c r="M150" s="16">
        <f t="shared" si="2"/>
        <v>45748</v>
      </c>
    </row>
    <row r="151" spans="1:13" x14ac:dyDescent="0.3">
      <c r="A151" t="s">
        <v>286</v>
      </c>
      <c r="B151" s="3">
        <v>45766.68937875751</v>
      </c>
      <c r="C151" t="s">
        <v>170</v>
      </c>
      <c r="D151" t="s">
        <v>73</v>
      </c>
      <c r="E151" t="s">
        <v>74</v>
      </c>
      <c r="F151" t="s">
        <v>34</v>
      </c>
      <c r="G151" t="s">
        <v>35</v>
      </c>
      <c r="H151" s="4">
        <v>3474.82</v>
      </c>
      <c r="I151">
        <v>2</v>
      </c>
      <c r="J151" s="5">
        <v>0</v>
      </c>
      <c r="K151">
        <v>943.25</v>
      </c>
      <c r="L151" t="s">
        <v>68</v>
      </c>
      <c r="M151" s="16">
        <f t="shared" si="2"/>
        <v>45748</v>
      </c>
    </row>
    <row r="152" spans="1:13" x14ac:dyDescent="0.3">
      <c r="A152" t="s">
        <v>287</v>
      </c>
      <c r="B152" s="3">
        <v>45767.418837675337</v>
      </c>
      <c r="C152" t="s">
        <v>116</v>
      </c>
      <c r="D152" t="s">
        <v>114</v>
      </c>
      <c r="E152" t="s">
        <v>114</v>
      </c>
      <c r="F152" t="s">
        <v>56</v>
      </c>
      <c r="G152" t="s">
        <v>35</v>
      </c>
      <c r="H152" s="4">
        <v>814.44</v>
      </c>
      <c r="I152">
        <v>1</v>
      </c>
      <c r="J152" s="5">
        <v>0.1</v>
      </c>
      <c r="K152">
        <v>150.68</v>
      </c>
      <c r="L152" t="s">
        <v>18</v>
      </c>
      <c r="M152" s="16">
        <f t="shared" si="2"/>
        <v>45748</v>
      </c>
    </row>
    <row r="153" spans="1:13" x14ac:dyDescent="0.3">
      <c r="A153" t="s">
        <v>288</v>
      </c>
      <c r="B153" s="3">
        <v>45768.148296593186</v>
      </c>
      <c r="C153" t="s">
        <v>194</v>
      </c>
      <c r="D153" t="s">
        <v>43</v>
      </c>
      <c r="E153" t="s">
        <v>44</v>
      </c>
      <c r="F153" t="s">
        <v>30</v>
      </c>
      <c r="G153" t="s">
        <v>17</v>
      </c>
      <c r="H153" s="4">
        <v>22852.3</v>
      </c>
      <c r="I153">
        <v>1</v>
      </c>
      <c r="J153" s="5">
        <v>0.15</v>
      </c>
      <c r="K153">
        <v>2853.98</v>
      </c>
      <c r="L153" t="s">
        <v>31</v>
      </c>
      <c r="M153" s="16">
        <f t="shared" si="2"/>
        <v>45748</v>
      </c>
    </row>
    <row r="154" spans="1:13" x14ac:dyDescent="0.3">
      <c r="A154" t="s">
        <v>289</v>
      </c>
      <c r="B154" s="3">
        <v>45768.877755511021</v>
      </c>
      <c r="C154" t="s">
        <v>290</v>
      </c>
      <c r="D154" t="s">
        <v>54</v>
      </c>
      <c r="E154" t="s">
        <v>55</v>
      </c>
      <c r="F154" t="s">
        <v>106</v>
      </c>
      <c r="G154" t="s">
        <v>35</v>
      </c>
      <c r="H154" s="4">
        <v>3376.33</v>
      </c>
      <c r="I154">
        <v>2</v>
      </c>
      <c r="J154" s="5">
        <v>0.05</v>
      </c>
      <c r="K154">
        <v>454.43</v>
      </c>
      <c r="L154" t="s">
        <v>31</v>
      </c>
      <c r="M154" s="16">
        <f t="shared" si="2"/>
        <v>45748</v>
      </c>
    </row>
    <row r="155" spans="1:13" x14ac:dyDescent="0.3">
      <c r="A155" t="s">
        <v>291</v>
      </c>
      <c r="B155" s="3">
        <v>45769.607214428863</v>
      </c>
      <c r="C155" t="s">
        <v>265</v>
      </c>
      <c r="D155" t="s">
        <v>43</v>
      </c>
      <c r="E155" t="s">
        <v>44</v>
      </c>
      <c r="F155" t="s">
        <v>63</v>
      </c>
      <c r="G155" t="s">
        <v>17</v>
      </c>
      <c r="H155" s="4">
        <v>43277.05</v>
      </c>
      <c r="I155">
        <v>2</v>
      </c>
      <c r="J155" s="5">
        <v>0.1</v>
      </c>
      <c r="K155">
        <v>8230.06</v>
      </c>
      <c r="L155" t="s">
        <v>25</v>
      </c>
      <c r="M155" s="16">
        <f t="shared" si="2"/>
        <v>45748</v>
      </c>
    </row>
    <row r="156" spans="1:13" x14ac:dyDescent="0.3">
      <c r="A156" t="s">
        <v>292</v>
      </c>
      <c r="B156" s="3">
        <v>45770.33667334669</v>
      </c>
      <c r="C156" t="s">
        <v>293</v>
      </c>
      <c r="D156" t="s">
        <v>28</v>
      </c>
      <c r="E156" t="s">
        <v>29</v>
      </c>
      <c r="F156" t="s">
        <v>23</v>
      </c>
      <c r="G156" t="s">
        <v>24</v>
      </c>
      <c r="H156" s="4">
        <v>36492.29</v>
      </c>
      <c r="I156">
        <v>3</v>
      </c>
      <c r="J156" s="5">
        <v>0.05</v>
      </c>
      <c r="K156">
        <v>3510.9</v>
      </c>
      <c r="L156" t="s">
        <v>68</v>
      </c>
      <c r="M156" s="16">
        <f t="shared" si="2"/>
        <v>45748</v>
      </c>
    </row>
    <row r="157" spans="1:13" x14ac:dyDescent="0.3">
      <c r="A157" t="s">
        <v>294</v>
      </c>
      <c r="B157" s="3">
        <v>45771.066132264517</v>
      </c>
      <c r="C157" t="s">
        <v>250</v>
      </c>
      <c r="D157" t="s">
        <v>90</v>
      </c>
      <c r="E157" t="s">
        <v>44</v>
      </c>
      <c r="F157" t="s">
        <v>30</v>
      </c>
      <c r="G157" t="s">
        <v>17</v>
      </c>
      <c r="H157" s="4">
        <v>134213.76000000001</v>
      </c>
      <c r="I157">
        <v>5</v>
      </c>
      <c r="J157" s="5">
        <v>0.1</v>
      </c>
      <c r="K157">
        <v>32873.81</v>
      </c>
      <c r="L157" t="s">
        <v>51</v>
      </c>
      <c r="M157" s="16">
        <f t="shared" si="2"/>
        <v>45748</v>
      </c>
    </row>
    <row r="158" spans="1:13" x14ac:dyDescent="0.3">
      <c r="A158" t="s">
        <v>295</v>
      </c>
      <c r="B158" s="3">
        <v>45771.795591182359</v>
      </c>
      <c r="C158" t="s">
        <v>160</v>
      </c>
      <c r="D158" t="s">
        <v>49</v>
      </c>
      <c r="E158" t="s">
        <v>50</v>
      </c>
      <c r="F158" t="s">
        <v>34</v>
      </c>
      <c r="G158" t="s">
        <v>35</v>
      </c>
      <c r="H158" s="4">
        <v>7115.33</v>
      </c>
      <c r="I158">
        <v>5</v>
      </c>
      <c r="J158" s="5">
        <v>0.15</v>
      </c>
      <c r="K158">
        <v>1704.02</v>
      </c>
      <c r="L158" t="s">
        <v>18</v>
      </c>
      <c r="M158" s="16">
        <f t="shared" si="2"/>
        <v>45748</v>
      </c>
    </row>
    <row r="159" spans="1:13" x14ac:dyDescent="0.3">
      <c r="A159" t="s">
        <v>296</v>
      </c>
      <c r="B159" s="3">
        <v>45772.525050100186</v>
      </c>
      <c r="C159" t="s">
        <v>238</v>
      </c>
      <c r="D159" t="s">
        <v>21</v>
      </c>
      <c r="E159" t="s">
        <v>22</v>
      </c>
      <c r="F159" t="s">
        <v>94</v>
      </c>
      <c r="G159" t="s">
        <v>46</v>
      </c>
      <c r="H159" s="4">
        <v>74324.52</v>
      </c>
      <c r="I159">
        <v>5</v>
      </c>
      <c r="J159" s="5">
        <v>0.1</v>
      </c>
      <c r="K159">
        <v>16056.19</v>
      </c>
      <c r="L159" t="s">
        <v>25</v>
      </c>
      <c r="M159" s="16">
        <f t="shared" si="2"/>
        <v>45748</v>
      </c>
    </row>
    <row r="160" spans="1:13" x14ac:dyDescent="0.3">
      <c r="A160" t="s">
        <v>297</v>
      </c>
      <c r="B160" s="3">
        <v>45773.254509018043</v>
      </c>
      <c r="C160" t="s">
        <v>298</v>
      </c>
      <c r="D160" t="s">
        <v>14</v>
      </c>
      <c r="E160" t="s">
        <v>15</v>
      </c>
      <c r="F160" t="s">
        <v>106</v>
      </c>
      <c r="G160" t="s">
        <v>35</v>
      </c>
      <c r="H160" s="4">
        <v>5839.96</v>
      </c>
      <c r="I160">
        <v>3</v>
      </c>
      <c r="J160" s="5">
        <v>0.05</v>
      </c>
      <c r="K160">
        <v>1493.95</v>
      </c>
      <c r="L160" t="s">
        <v>18</v>
      </c>
      <c r="M160" s="16">
        <f t="shared" si="2"/>
        <v>45748</v>
      </c>
    </row>
    <row r="161" spans="1:13" x14ac:dyDescent="0.3">
      <c r="A161" t="s">
        <v>299</v>
      </c>
      <c r="B161" s="3">
        <v>45773.98396793587</v>
      </c>
      <c r="C161" t="s">
        <v>156</v>
      </c>
      <c r="D161" t="s">
        <v>114</v>
      </c>
      <c r="E161" t="s">
        <v>114</v>
      </c>
      <c r="F161" t="s">
        <v>75</v>
      </c>
      <c r="G161" t="s">
        <v>24</v>
      </c>
      <c r="H161" s="4">
        <v>16759.47</v>
      </c>
      <c r="I161">
        <v>2</v>
      </c>
      <c r="J161" s="5">
        <v>0.15</v>
      </c>
      <c r="K161">
        <v>3041.74</v>
      </c>
      <c r="L161" t="s">
        <v>68</v>
      </c>
      <c r="M161" s="16">
        <f t="shared" si="2"/>
        <v>45748</v>
      </c>
    </row>
    <row r="162" spans="1:13" x14ac:dyDescent="0.3">
      <c r="A162" t="s">
        <v>300</v>
      </c>
      <c r="B162" s="3">
        <v>45774.713426853697</v>
      </c>
      <c r="C162" t="s">
        <v>243</v>
      </c>
      <c r="D162" t="s">
        <v>21</v>
      </c>
      <c r="E162" t="s">
        <v>22</v>
      </c>
      <c r="F162" t="s">
        <v>87</v>
      </c>
      <c r="G162" t="s">
        <v>17</v>
      </c>
      <c r="H162" s="4">
        <v>54316.17</v>
      </c>
      <c r="I162">
        <v>1</v>
      </c>
      <c r="J162" s="5">
        <v>0.05</v>
      </c>
      <c r="K162">
        <v>11232.65</v>
      </c>
      <c r="L162" t="s">
        <v>18</v>
      </c>
      <c r="M162" s="16">
        <f t="shared" si="2"/>
        <v>45748</v>
      </c>
    </row>
    <row r="163" spans="1:13" x14ac:dyDescent="0.3">
      <c r="A163" t="s">
        <v>301</v>
      </c>
      <c r="B163" s="3">
        <v>45775.442885771539</v>
      </c>
      <c r="C163" t="s">
        <v>110</v>
      </c>
      <c r="D163" t="s">
        <v>14</v>
      </c>
      <c r="E163" t="s">
        <v>15</v>
      </c>
      <c r="F163" t="s">
        <v>45</v>
      </c>
      <c r="G163" t="s">
        <v>46</v>
      </c>
      <c r="H163" s="4">
        <v>270.48</v>
      </c>
      <c r="I163">
        <v>1</v>
      </c>
      <c r="J163" s="5">
        <v>0.05</v>
      </c>
      <c r="K163">
        <v>55.86</v>
      </c>
      <c r="L163" t="s">
        <v>25</v>
      </c>
      <c r="M163" s="16">
        <f t="shared" si="2"/>
        <v>45748</v>
      </c>
    </row>
    <row r="164" spans="1:13" x14ac:dyDescent="0.3">
      <c r="A164" t="s">
        <v>302</v>
      </c>
      <c r="B164" s="3">
        <v>45776.172344689367</v>
      </c>
      <c r="C164" t="s">
        <v>190</v>
      </c>
      <c r="D164" t="s">
        <v>54</v>
      </c>
      <c r="E164" t="s">
        <v>55</v>
      </c>
      <c r="F164" t="s">
        <v>16</v>
      </c>
      <c r="G164" t="s">
        <v>17</v>
      </c>
      <c r="H164" s="4">
        <v>31757.3</v>
      </c>
      <c r="I164">
        <v>2</v>
      </c>
      <c r="J164" s="5">
        <v>0</v>
      </c>
      <c r="K164">
        <v>7437.46</v>
      </c>
      <c r="L164" t="s">
        <v>31</v>
      </c>
      <c r="M164" s="16">
        <f t="shared" si="2"/>
        <v>45748</v>
      </c>
    </row>
    <row r="165" spans="1:13" x14ac:dyDescent="0.3">
      <c r="A165" t="s">
        <v>303</v>
      </c>
      <c r="B165" s="3">
        <v>45776.901803607208</v>
      </c>
      <c r="C165" t="s">
        <v>93</v>
      </c>
      <c r="D165" t="s">
        <v>28</v>
      </c>
      <c r="E165" t="s">
        <v>29</v>
      </c>
      <c r="F165" t="s">
        <v>45</v>
      </c>
      <c r="G165" t="s">
        <v>46</v>
      </c>
      <c r="H165" s="4">
        <v>663.43</v>
      </c>
      <c r="I165">
        <v>3</v>
      </c>
      <c r="J165" s="5">
        <v>0.2</v>
      </c>
      <c r="K165">
        <v>142.78</v>
      </c>
      <c r="L165" t="s">
        <v>18</v>
      </c>
      <c r="M165" s="16">
        <f t="shared" si="2"/>
        <v>45748</v>
      </c>
    </row>
    <row r="166" spans="1:13" x14ac:dyDescent="0.3">
      <c r="A166" t="s">
        <v>304</v>
      </c>
      <c r="B166" s="3">
        <v>45777.631262525043</v>
      </c>
      <c r="C166" t="s">
        <v>139</v>
      </c>
      <c r="D166" t="s">
        <v>71</v>
      </c>
      <c r="E166" t="s">
        <v>55</v>
      </c>
      <c r="F166" t="s">
        <v>16</v>
      </c>
      <c r="G166" t="s">
        <v>17</v>
      </c>
      <c r="H166" s="4">
        <v>67555.86</v>
      </c>
      <c r="I166">
        <v>5</v>
      </c>
      <c r="J166" s="5">
        <v>0</v>
      </c>
      <c r="K166">
        <v>16504.07</v>
      </c>
      <c r="L166" t="s">
        <v>51</v>
      </c>
      <c r="M166" s="16">
        <f t="shared" si="2"/>
        <v>45748</v>
      </c>
    </row>
    <row r="167" spans="1:13" x14ac:dyDescent="0.3">
      <c r="A167" t="s">
        <v>305</v>
      </c>
      <c r="B167" s="3">
        <v>45778.360721442878</v>
      </c>
      <c r="C167" t="s">
        <v>126</v>
      </c>
      <c r="D167" t="s">
        <v>43</v>
      </c>
      <c r="E167" t="s">
        <v>44</v>
      </c>
      <c r="F167" t="s">
        <v>30</v>
      </c>
      <c r="G167" t="s">
        <v>17</v>
      </c>
      <c r="H167" s="4">
        <v>169993.66</v>
      </c>
      <c r="I167">
        <v>5</v>
      </c>
      <c r="J167" s="5">
        <v>0</v>
      </c>
      <c r="K167">
        <v>42641.54</v>
      </c>
      <c r="L167" t="s">
        <v>51</v>
      </c>
      <c r="M167" s="16">
        <f t="shared" si="2"/>
        <v>45778</v>
      </c>
    </row>
    <row r="168" spans="1:13" x14ac:dyDescent="0.3">
      <c r="A168" t="s">
        <v>306</v>
      </c>
      <c r="B168" s="3">
        <v>45779.090180360719</v>
      </c>
      <c r="C168" t="s">
        <v>293</v>
      </c>
      <c r="D168" t="s">
        <v>54</v>
      </c>
      <c r="E168" t="s">
        <v>55</v>
      </c>
      <c r="F168" t="s">
        <v>56</v>
      </c>
      <c r="G168" t="s">
        <v>35</v>
      </c>
      <c r="H168" s="4">
        <v>2013.07</v>
      </c>
      <c r="I168">
        <v>3</v>
      </c>
      <c r="J168" s="5">
        <v>0.2</v>
      </c>
      <c r="K168">
        <v>221.86</v>
      </c>
      <c r="L168" t="s">
        <v>68</v>
      </c>
      <c r="M168" s="16">
        <f t="shared" si="2"/>
        <v>45778</v>
      </c>
    </row>
    <row r="169" spans="1:13" x14ac:dyDescent="0.3">
      <c r="A169" t="s">
        <v>307</v>
      </c>
      <c r="B169" s="3">
        <v>45779.819639278547</v>
      </c>
      <c r="C169" t="s">
        <v>261</v>
      </c>
      <c r="D169" t="s">
        <v>21</v>
      </c>
      <c r="E169" t="s">
        <v>22</v>
      </c>
      <c r="F169" t="s">
        <v>16</v>
      </c>
      <c r="G169" t="s">
        <v>17</v>
      </c>
      <c r="H169" s="4">
        <v>31324.09</v>
      </c>
      <c r="I169">
        <v>3</v>
      </c>
      <c r="J169" s="5">
        <v>0.2</v>
      </c>
      <c r="K169">
        <v>5070.33</v>
      </c>
      <c r="L169" t="s">
        <v>51</v>
      </c>
      <c r="M169" s="16">
        <f t="shared" si="2"/>
        <v>45778</v>
      </c>
    </row>
    <row r="170" spans="1:13" x14ac:dyDescent="0.3">
      <c r="A170" t="s">
        <v>308</v>
      </c>
      <c r="B170" s="3">
        <v>45780.549098196389</v>
      </c>
      <c r="C170" t="s">
        <v>267</v>
      </c>
      <c r="D170" t="s">
        <v>71</v>
      </c>
      <c r="E170" t="s">
        <v>55</v>
      </c>
      <c r="F170" t="s">
        <v>87</v>
      </c>
      <c r="G170" t="s">
        <v>17</v>
      </c>
      <c r="H170" s="4">
        <v>52691.62</v>
      </c>
      <c r="I170">
        <v>1</v>
      </c>
      <c r="J170" s="5">
        <v>0.1</v>
      </c>
      <c r="K170">
        <v>9184.49</v>
      </c>
      <c r="L170" t="s">
        <v>25</v>
      </c>
      <c r="M170" s="16">
        <f t="shared" si="2"/>
        <v>45778</v>
      </c>
    </row>
    <row r="171" spans="1:13" x14ac:dyDescent="0.3">
      <c r="A171" t="s">
        <v>309</v>
      </c>
      <c r="B171" s="3">
        <v>45781.278557114223</v>
      </c>
      <c r="C171" t="s">
        <v>77</v>
      </c>
      <c r="D171" t="s">
        <v>38</v>
      </c>
      <c r="E171" t="s">
        <v>39</v>
      </c>
      <c r="F171" t="s">
        <v>87</v>
      </c>
      <c r="G171" t="s">
        <v>17</v>
      </c>
      <c r="H171" s="4">
        <v>253146.35</v>
      </c>
      <c r="I171">
        <v>5</v>
      </c>
      <c r="J171" s="5">
        <v>0.15</v>
      </c>
      <c r="K171">
        <v>63022.47</v>
      </c>
      <c r="L171" t="s">
        <v>18</v>
      </c>
      <c r="M171" s="16">
        <f t="shared" si="2"/>
        <v>45778</v>
      </c>
    </row>
    <row r="172" spans="1:13" x14ac:dyDescent="0.3">
      <c r="A172" t="s">
        <v>310</v>
      </c>
      <c r="B172" s="3">
        <v>45782.008016032058</v>
      </c>
      <c r="C172" t="s">
        <v>311</v>
      </c>
      <c r="D172" t="s">
        <v>61</v>
      </c>
      <c r="E172" t="s">
        <v>62</v>
      </c>
      <c r="F172" t="s">
        <v>106</v>
      </c>
      <c r="G172" t="s">
        <v>35</v>
      </c>
      <c r="H172" s="4">
        <v>8209.82</v>
      </c>
      <c r="I172">
        <v>4</v>
      </c>
      <c r="J172" s="5">
        <v>0</v>
      </c>
      <c r="K172">
        <v>1415.53</v>
      </c>
      <c r="L172" t="s">
        <v>25</v>
      </c>
      <c r="M172" s="16">
        <f t="shared" si="2"/>
        <v>45778</v>
      </c>
    </row>
    <row r="173" spans="1:13" x14ac:dyDescent="0.3">
      <c r="A173" t="s">
        <v>312</v>
      </c>
      <c r="B173" s="3">
        <v>45782.737474949892</v>
      </c>
      <c r="C173" t="s">
        <v>210</v>
      </c>
      <c r="D173" t="s">
        <v>54</v>
      </c>
      <c r="E173" t="s">
        <v>55</v>
      </c>
      <c r="F173" t="s">
        <v>16</v>
      </c>
      <c r="G173" t="s">
        <v>17</v>
      </c>
      <c r="H173" s="4">
        <v>12105.09</v>
      </c>
      <c r="I173">
        <v>1</v>
      </c>
      <c r="J173" s="5">
        <v>0.05</v>
      </c>
      <c r="K173">
        <v>1123.8599999999999</v>
      </c>
      <c r="L173" t="s">
        <v>68</v>
      </c>
      <c r="M173" s="16">
        <f t="shared" si="2"/>
        <v>45778</v>
      </c>
    </row>
    <row r="174" spans="1:13" x14ac:dyDescent="0.3">
      <c r="A174" t="s">
        <v>313</v>
      </c>
      <c r="B174" s="3">
        <v>45783.466933867727</v>
      </c>
      <c r="C174" t="s">
        <v>86</v>
      </c>
      <c r="D174" t="s">
        <v>43</v>
      </c>
      <c r="E174" t="s">
        <v>44</v>
      </c>
      <c r="F174" t="s">
        <v>23</v>
      </c>
      <c r="G174" t="s">
        <v>24</v>
      </c>
      <c r="H174" s="4">
        <v>41231</v>
      </c>
      <c r="I174">
        <v>3</v>
      </c>
      <c r="J174" s="5">
        <v>0</v>
      </c>
      <c r="K174">
        <v>7129.65</v>
      </c>
      <c r="L174" t="s">
        <v>18</v>
      </c>
      <c r="M174" s="16">
        <f t="shared" si="2"/>
        <v>45778</v>
      </c>
    </row>
    <row r="175" spans="1:13" x14ac:dyDescent="0.3">
      <c r="A175" t="s">
        <v>314</v>
      </c>
      <c r="B175" s="3">
        <v>45784.196392785569</v>
      </c>
      <c r="C175" t="s">
        <v>194</v>
      </c>
      <c r="D175" t="s">
        <v>38</v>
      </c>
      <c r="E175" t="s">
        <v>39</v>
      </c>
      <c r="F175" t="s">
        <v>87</v>
      </c>
      <c r="G175" t="s">
        <v>17</v>
      </c>
      <c r="H175" s="4">
        <v>238470.17</v>
      </c>
      <c r="I175">
        <v>4</v>
      </c>
      <c r="J175" s="5">
        <v>0</v>
      </c>
      <c r="K175">
        <v>41994.93</v>
      </c>
      <c r="L175" t="s">
        <v>31</v>
      </c>
      <c r="M175" s="16">
        <f t="shared" si="2"/>
        <v>45778</v>
      </c>
    </row>
    <row r="176" spans="1:13" x14ac:dyDescent="0.3">
      <c r="A176" t="s">
        <v>315</v>
      </c>
      <c r="B176" s="3">
        <v>45784.925851703403</v>
      </c>
      <c r="C176" t="s">
        <v>316</v>
      </c>
      <c r="D176" t="s">
        <v>61</v>
      </c>
      <c r="E176" t="s">
        <v>62</v>
      </c>
      <c r="F176" t="s">
        <v>94</v>
      </c>
      <c r="G176" t="s">
        <v>46</v>
      </c>
      <c r="H176" s="4">
        <v>57279.93</v>
      </c>
      <c r="I176">
        <v>4</v>
      </c>
      <c r="J176" s="5">
        <v>0.1</v>
      </c>
      <c r="K176">
        <v>4694.33</v>
      </c>
      <c r="L176" t="s">
        <v>51</v>
      </c>
      <c r="M176" s="16">
        <f t="shared" si="2"/>
        <v>45778</v>
      </c>
    </row>
    <row r="177" spans="1:13" x14ac:dyDescent="0.3">
      <c r="A177" t="s">
        <v>317</v>
      </c>
      <c r="B177" s="3">
        <v>45785.655310621238</v>
      </c>
      <c r="C177" t="s">
        <v>89</v>
      </c>
      <c r="D177" t="s">
        <v>90</v>
      </c>
      <c r="E177" t="s">
        <v>44</v>
      </c>
      <c r="F177" t="s">
        <v>87</v>
      </c>
      <c r="G177" t="s">
        <v>17</v>
      </c>
      <c r="H177" s="4">
        <v>52535.34</v>
      </c>
      <c r="I177">
        <v>1</v>
      </c>
      <c r="J177" s="5">
        <v>0</v>
      </c>
      <c r="K177">
        <v>5028.46</v>
      </c>
      <c r="L177" t="s">
        <v>51</v>
      </c>
      <c r="M177" s="16">
        <f t="shared" si="2"/>
        <v>45778</v>
      </c>
    </row>
    <row r="178" spans="1:13" x14ac:dyDescent="0.3">
      <c r="A178" t="s">
        <v>318</v>
      </c>
      <c r="B178" s="3">
        <v>45786.384769539072</v>
      </c>
      <c r="C178" t="s">
        <v>311</v>
      </c>
      <c r="D178" t="s">
        <v>28</v>
      </c>
      <c r="E178" t="s">
        <v>29</v>
      </c>
      <c r="F178" t="s">
        <v>75</v>
      </c>
      <c r="G178" t="s">
        <v>24</v>
      </c>
      <c r="H178" s="4">
        <v>16169.64</v>
      </c>
      <c r="I178">
        <v>2</v>
      </c>
      <c r="J178" s="5">
        <v>0.15</v>
      </c>
      <c r="K178">
        <v>1940.84</v>
      </c>
      <c r="L178" t="s">
        <v>18</v>
      </c>
      <c r="M178" s="16">
        <f t="shared" si="2"/>
        <v>45778</v>
      </c>
    </row>
    <row r="179" spans="1:13" x14ac:dyDescent="0.3">
      <c r="A179" t="s">
        <v>319</v>
      </c>
      <c r="B179" s="3">
        <v>45787.114228456907</v>
      </c>
      <c r="C179" t="s">
        <v>20</v>
      </c>
      <c r="D179" t="s">
        <v>71</v>
      </c>
      <c r="E179" t="s">
        <v>55</v>
      </c>
      <c r="F179" t="s">
        <v>34</v>
      </c>
      <c r="G179" t="s">
        <v>35</v>
      </c>
      <c r="H179" s="4">
        <v>2035.55</v>
      </c>
      <c r="I179">
        <v>1</v>
      </c>
      <c r="J179" s="5">
        <v>0</v>
      </c>
      <c r="K179">
        <v>383.21</v>
      </c>
      <c r="L179" t="s">
        <v>51</v>
      </c>
      <c r="M179" s="16">
        <f t="shared" si="2"/>
        <v>45778</v>
      </c>
    </row>
    <row r="180" spans="1:13" x14ac:dyDescent="0.3">
      <c r="A180" t="s">
        <v>320</v>
      </c>
      <c r="B180" s="3">
        <v>45787.843687374749</v>
      </c>
      <c r="C180" t="s">
        <v>113</v>
      </c>
      <c r="D180" t="s">
        <v>61</v>
      </c>
      <c r="E180" t="s">
        <v>62</v>
      </c>
      <c r="F180" t="s">
        <v>16</v>
      </c>
      <c r="G180" t="s">
        <v>17</v>
      </c>
      <c r="H180" s="4">
        <v>37623.08</v>
      </c>
      <c r="I180">
        <v>3</v>
      </c>
      <c r="J180" s="5">
        <v>0.1</v>
      </c>
      <c r="K180">
        <v>7170.97</v>
      </c>
      <c r="L180" t="s">
        <v>51</v>
      </c>
      <c r="M180" s="16">
        <f t="shared" si="2"/>
        <v>45778</v>
      </c>
    </row>
    <row r="181" spans="1:13" x14ac:dyDescent="0.3">
      <c r="A181" t="s">
        <v>321</v>
      </c>
      <c r="B181" s="3">
        <v>45788.573146292583</v>
      </c>
      <c r="C181" t="s">
        <v>60</v>
      </c>
      <c r="D181" t="s">
        <v>71</v>
      </c>
      <c r="E181" t="s">
        <v>55</v>
      </c>
      <c r="F181" t="s">
        <v>94</v>
      </c>
      <c r="G181" t="s">
        <v>46</v>
      </c>
      <c r="H181" s="4">
        <v>64168.61</v>
      </c>
      <c r="I181">
        <v>4</v>
      </c>
      <c r="J181" s="5">
        <v>0</v>
      </c>
      <c r="K181">
        <v>5908.03</v>
      </c>
      <c r="L181" t="s">
        <v>68</v>
      </c>
      <c r="M181" s="16">
        <f t="shared" si="2"/>
        <v>45778</v>
      </c>
    </row>
    <row r="182" spans="1:13" x14ac:dyDescent="0.3">
      <c r="A182" t="s">
        <v>322</v>
      </c>
      <c r="B182" s="3">
        <v>45789.302605210418</v>
      </c>
      <c r="C182" t="s">
        <v>202</v>
      </c>
      <c r="D182" t="s">
        <v>71</v>
      </c>
      <c r="E182" t="s">
        <v>55</v>
      </c>
      <c r="F182" t="s">
        <v>45</v>
      </c>
      <c r="G182" t="s">
        <v>46</v>
      </c>
      <c r="H182" s="4">
        <v>814.22</v>
      </c>
      <c r="I182">
        <v>3</v>
      </c>
      <c r="J182" s="5">
        <v>0.05</v>
      </c>
      <c r="K182">
        <v>94.79</v>
      </c>
      <c r="L182" t="s">
        <v>18</v>
      </c>
      <c r="M182" s="16">
        <f t="shared" si="2"/>
        <v>45778</v>
      </c>
    </row>
    <row r="183" spans="1:13" x14ac:dyDescent="0.3">
      <c r="A183" t="s">
        <v>323</v>
      </c>
      <c r="B183" s="3">
        <v>45790.032064128252</v>
      </c>
      <c r="C183" t="s">
        <v>192</v>
      </c>
      <c r="D183" t="s">
        <v>61</v>
      </c>
      <c r="E183" t="s">
        <v>62</v>
      </c>
      <c r="F183" t="s">
        <v>30</v>
      </c>
      <c r="G183" t="s">
        <v>17</v>
      </c>
      <c r="H183" s="4">
        <v>59620.79</v>
      </c>
      <c r="I183">
        <v>2</v>
      </c>
      <c r="J183" s="5">
        <v>0.05</v>
      </c>
      <c r="K183">
        <v>11238.26</v>
      </c>
      <c r="L183" t="s">
        <v>25</v>
      </c>
      <c r="M183" s="16">
        <f t="shared" si="2"/>
        <v>45778</v>
      </c>
    </row>
    <row r="184" spans="1:13" x14ac:dyDescent="0.3">
      <c r="A184" t="s">
        <v>324</v>
      </c>
      <c r="B184" s="3">
        <v>45790.761523046087</v>
      </c>
      <c r="C184" t="s">
        <v>311</v>
      </c>
      <c r="D184" t="s">
        <v>73</v>
      </c>
      <c r="E184" t="s">
        <v>74</v>
      </c>
      <c r="F184" t="s">
        <v>40</v>
      </c>
      <c r="G184" t="s">
        <v>17</v>
      </c>
      <c r="H184" s="4">
        <v>6527.7</v>
      </c>
      <c r="I184">
        <v>3</v>
      </c>
      <c r="J184" s="5">
        <v>0.05</v>
      </c>
      <c r="K184">
        <v>788</v>
      </c>
      <c r="L184" t="s">
        <v>68</v>
      </c>
      <c r="M184" s="16">
        <f t="shared" si="2"/>
        <v>45778</v>
      </c>
    </row>
    <row r="185" spans="1:13" x14ac:dyDescent="0.3">
      <c r="A185" t="s">
        <v>325</v>
      </c>
      <c r="B185" s="3">
        <v>45791.490981963922</v>
      </c>
      <c r="C185" t="s">
        <v>83</v>
      </c>
      <c r="D185" t="s">
        <v>73</v>
      </c>
      <c r="E185" t="s">
        <v>74</v>
      </c>
      <c r="F185" t="s">
        <v>23</v>
      </c>
      <c r="G185" t="s">
        <v>24</v>
      </c>
      <c r="H185" s="4">
        <v>44868.79</v>
      </c>
      <c r="I185">
        <v>4</v>
      </c>
      <c r="J185" s="5">
        <v>0.1</v>
      </c>
      <c r="K185">
        <v>10478.870000000001</v>
      </c>
      <c r="L185" t="s">
        <v>51</v>
      </c>
      <c r="M185" s="16">
        <f t="shared" si="2"/>
        <v>45778</v>
      </c>
    </row>
    <row r="186" spans="1:13" x14ac:dyDescent="0.3">
      <c r="A186" t="s">
        <v>326</v>
      </c>
      <c r="B186" s="3">
        <v>45792.220440881763</v>
      </c>
      <c r="C186" t="s">
        <v>327</v>
      </c>
      <c r="D186" t="s">
        <v>90</v>
      </c>
      <c r="E186" t="s">
        <v>44</v>
      </c>
      <c r="F186" t="s">
        <v>40</v>
      </c>
      <c r="G186" t="s">
        <v>17</v>
      </c>
      <c r="H186" s="4">
        <v>2208.56</v>
      </c>
      <c r="I186">
        <v>1</v>
      </c>
      <c r="J186" s="5">
        <v>0.1</v>
      </c>
      <c r="K186">
        <v>391.65</v>
      </c>
      <c r="L186" t="s">
        <v>25</v>
      </c>
      <c r="M186" s="16">
        <f t="shared" si="2"/>
        <v>45778</v>
      </c>
    </row>
    <row r="187" spans="1:13" x14ac:dyDescent="0.3">
      <c r="A187" t="s">
        <v>328</v>
      </c>
      <c r="B187" s="3">
        <v>45792.949899799598</v>
      </c>
      <c r="C187" t="s">
        <v>329</v>
      </c>
      <c r="D187" t="s">
        <v>28</v>
      </c>
      <c r="E187" t="s">
        <v>29</v>
      </c>
      <c r="F187" t="s">
        <v>75</v>
      </c>
      <c r="G187" t="s">
        <v>24</v>
      </c>
      <c r="H187" s="4">
        <v>19624.64</v>
      </c>
      <c r="I187">
        <v>2</v>
      </c>
      <c r="J187" s="5">
        <v>0.05</v>
      </c>
      <c r="K187">
        <v>2979.61</v>
      </c>
      <c r="L187" t="s">
        <v>68</v>
      </c>
      <c r="M187" s="16">
        <f t="shared" si="2"/>
        <v>45778</v>
      </c>
    </row>
    <row r="188" spans="1:13" x14ac:dyDescent="0.3">
      <c r="A188" t="s">
        <v>330</v>
      </c>
      <c r="B188" s="3">
        <v>45793.679358717432</v>
      </c>
      <c r="C188" t="s">
        <v>186</v>
      </c>
      <c r="D188" t="s">
        <v>90</v>
      </c>
      <c r="E188" t="s">
        <v>44</v>
      </c>
      <c r="F188" t="s">
        <v>40</v>
      </c>
      <c r="G188" t="s">
        <v>17</v>
      </c>
      <c r="H188" s="4">
        <v>4258.99</v>
      </c>
      <c r="I188">
        <v>2</v>
      </c>
      <c r="J188" s="5">
        <v>0.2</v>
      </c>
      <c r="K188">
        <v>493.77</v>
      </c>
      <c r="L188" t="s">
        <v>68</v>
      </c>
      <c r="M188" s="16">
        <f t="shared" si="2"/>
        <v>45778</v>
      </c>
    </row>
    <row r="189" spans="1:13" x14ac:dyDescent="0.3">
      <c r="A189" t="s">
        <v>331</v>
      </c>
      <c r="B189" s="3">
        <v>45794.408817635267</v>
      </c>
      <c r="C189" t="s">
        <v>96</v>
      </c>
      <c r="D189" t="s">
        <v>114</v>
      </c>
      <c r="E189" t="s">
        <v>114</v>
      </c>
      <c r="F189" t="s">
        <v>56</v>
      </c>
      <c r="G189" t="s">
        <v>35</v>
      </c>
      <c r="H189" s="4">
        <v>4415.17</v>
      </c>
      <c r="I189">
        <v>5</v>
      </c>
      <c r="J189" s="5">
        <v>0</v>
      </c>
      <c r="K189">
        <v>710.86</v>
      </c>
      <c r="L189" t="s">
        <v>31</v>
      </c>
      <c r="M189" s="16">
        <f t="shared" si="2"/>
        <v>45778</v>
      </c>
    </row>
    <row r="190" spans="1:13" x14ac:dyDescent="0.3">
      <c r="A190" t="s">
        <v>332</v>
      </c>
      <c r="B190" s="3">
        <v>45795.138276553102</v>
      </c>
      <c r="C190" t="s">
        <v>152</v>
      </c>
      <c r="D190" t="s">
        <v>54</v>
      </c>
      <c r="E190" t="s">
        <v>55</v>
      </c>
      <c r="F190" t="s">
        <v>30</v>
      </c>
      <c r="G190" t="s">
        <v>17</v>
      </c>
      <c r="H190" s="4">
        <v>23215.78</v>
      </c>
      <c r="I190">
        <v>1</v>
      </c>
      <c r="J190" s="5">
        <v>0.2</v>
      </c>
      <c r="K190">
        <v>3055.82</v>
      </c>
      <c r="L190" t="s">
        <v>31</v>
      </c>
      <c r="M190" s="16">
        <f t="shared" si="2"/>
        <v>45778</v>
      </c>
    </row>
    <row r="191" spans="1:13" x14ac:dyDescent="0.3">
      <c r="A191" t="s">
        <v>333</v>
      </c>
      <c r="B191" s="3">
        <v>45795.867735470943</v>
      </c>
      <c r="C191" t="s">
        <v>162</v>
      </c>
      <c r="D191" t="s">
        <v>49</v>
      </c>
      <c r="E191" t="s">
        <v>50</v>
      </c>
      <c r="F191" t="s">
        <v>63</v>
      </c>
      <c r="G191" t="s">
        <v>17</v>
      </c>
      <c r="H191" s="4">
        <v>95383.12</v>
      </c>
      <c r="I191">
        <v>4</v>
      </c>
      <c r="J191" s="5">
        <v>0.05</v>
      </c>
      <c r="K191">
        <v>12133.7</v>
      </c>
      <c r="L191" t="s">
        <v>51</v>
      </c>
      <c r="M191" s="16">
        <f t="shared" si="2"/>
        <v>45778</v>
      </c>
    </row>
    <row r="192" spans="1:13" x14ac:dyDescent="0.3">
      <c r="A192" t="s">
        <v>334</v>
      </c>
      <c r="B192" s="3">
        <v>45796.597194388771</v>
      </c>
      <c r="C192" t="s">
        <v>335</v>
      </c>
      <c r="D192" t="s">
        <v>73</v>
      </c>
      <c r="E192" t="s">
        <v>74</v>
      </c>
      <c r="F192" t="s">
        <v>63</v>
      </c>
      <c r="G192" t="s">
        <v>17</v>
      </c>
      <c r="H192" s="4">
        <v>21543.86</v>
      </c>
      <c r="I192">
        <v>1</v>
      </c>
      <c r="J192" s="5">
        <v>0</v>
      </c>
      <c r="K192">
        <v>4382.6499999999996</v>
      </c>
      <c r="L192" t="s">
        <v>25</v>
      </c>
      <c r="M192" s="16">
        <f t="shared" si="2"/>
        <v>45778</v>
      </c>
    </row>
    <row r="193" spans="1:13" x14ac:dyDescent="0.3">
      <c r="A193" t="s">
        <v>336</v>
      </c>
      <c r="B193" s="3">
        <v>45797.326653306613</v>
      </c>
      <c r="C193" t="s">
        <v>188</v>
      </c>
      <c r="D193" t="s">
        <v>61</v>
      </c>
      <c r="E193" t="s">
        <v>62</v>
      </c>
      <c r="F193" t="s">
        <v>94</v>
      </c>
      <c r="G193" t="s">
        <v>46</v>
      </c>
      <c r="H193" s="4">
        <v>43372.29</v>
      </c>
      <c r="I193">
        <v>3</v>
      </c>
      <c r="J193" s="5">
        <v>0.1</v>
      </c>
      <c r="K193">
        <v>7586.95</v>
      </c>
      <c r="L193" t="s">
        <v>25</v>
      </c>
      <c r="M193" s="16">
        <f t="shared" si="2"/>
        <v>45778</v>
      </c>
    </row>
    <row r="194" spans="1:13" x14ac:dyDescent="0.3">
      <c r="A194" t="s">
        <v>337</v>
      </c>
      <c r="B194" s="3">
        <v>45798.056112224447</v>
      </c>
      <c r="C194" t="s">
        <v>129</v>
      </c>
      <c r="D194" t="s">
        <v>49</v>
      </c>
      <c r="E194" t="s">
        <v>50</v>
      </c>
      <c r="F194" t="s">
        <v>63</v>
      </c>
      <c r="G194" t="s">
        <v>17</v>
      </c>
      <c r="H194" s="4">
        <v>89053.51</v>
      </c>
      <c r="I194">
        <v>4</v>
      </c>
      <c r="J194" s="5">
        <v>0</v>
      </c>
      <c r="K194">
        <v>24697.98</v>
      </c>
      <c r="L194" t="s">
        <v>25</v>
      </c>
      <c r="M194" s="16">
        <f t="shared" ref="M194:M257" si="3">DATE(YEAR(B194),MONTH(B194),1)</f>
        <v>45778</v>
      </c>
    </row>
    <row r="195" spans="1:13" x14ac:dyDescent="0.3">
      <c r="A195" t="s">
        <v>338</v>
      </c>
      <c r="B195" s="3">
        <v>45798.785571142282</v>
      </c>
      <c r="C195" t="s">
        <v>105</v>
      </c>
      <c r="D195" t="s">
        <v>73</v>
      </c>
      <c r="E195" t="s">
        <v>74</v>
      </c>
      <c r="F195" t="s">
        <v>87</v>
      </c>
      <c r="G195" t="s">
        <v>17</v>
      </c>
      <c r="H195" s="4">
        <v>130107.08</v>
      </c>
      <c r="I195">
        <v>3</v>
      </c>
      <c r="J195" s="5">
        <v>0.2</v>
      </c>
      <c r="K195">
        <v>18635.400000000001</v>
      </c>
      <c r="L195" t="s">
        <v>25</v>
      </c>
      <c r="M195" s="16">
        <f t="shared" si="3"/>
        <v>45778</v>
      </c>
    </row>
    <row r="196" spans="1:13" x14ac:dyDescent="0.3">
      <c r="A196" t="s">
        <v>339</v>
      </c>
      <c r="B196" s="3">
        <v>45799.515030060124</v>
      </c>
      <c r="C196" t="s">
        <v>219</v>
      </c>
      <c r="D196" t="s">
        <v>73</v>
      </c>
      <c r="E196" t="s">
        <v>74</v>
      </c>
      <c r="F196" t="s">
        <v>16</v>
      </c>
      <c r="G196" t="s">
        <v>17</v>
      </c>
      <c r="H196" s="4">
        <v>62620.06</v>
      </c>
      <c r="I196">
        <v>5</v>
      </c>
      <c r="J196" s="5">
        <v>0.1</v>
      </c>
      <c r="K196">
        <v>5227.2700000000004</v>
      </c>
      <c r="L196" t="s">
        <v>68</v>
      </c>
      <c r="M196" s="16">
        <f t="shared" si="3"/>
        <v>45778</v>
      </c>
    </row>
    <row r="197" spans="1:13" x14ac:dyDescent="0.3">
      <c r="A197" t="s">
        <v>340</v>
      </c>
      <c r="B197" s="3">
        <v>45800.244488977951</v>
      </c>
      <c r="C197" t="s">
        <v>282</v>
      </c>
      <c r="D197" t="s">
        <v>38</v>
      </c>
      <c r="E197" t="s">
        <v>39</v>
      </c>
      <c r="F197" t="s">
        <v>75</v>
      </c>
      <c r="G197" t="s">
        <v>24</v>
      </c>
      <c r="H197" s="4">
        <v>24218.69</v>
      </c>
      <c r="I197">
        <v>3</v>
      </c>
      <c r="J197" s="5">
        <v>0.1</v>
      </c>
      <c r="K197">
        <v>2613.9299999999998</v>
      </c>
      <c r="L197" t="s">
        <v>51</v>
      </c>
      <c r="M197" s="16">
        <f t="shared" si="3"/>
        <v>45778</v>
      </c>
    </row>
    <row r="198" spans="1:13" x14ac:dyDescent="0.3">
      <c r="A198" t="s">
        <v>341</v>
      </c>
      <c r="B198" s="3">
        <v>45800.973947895793</v>
      </c>
      <c r="C198" t="s">
        <v>210</v>
      </c>
      <c r="D198" t="s">
        <v>61</v>
      </c>
      <c r="E198" t="s">
        <v>62</v>
      </c>
      <c r="F198" t="s">
        <v>75</v>
      </c>
      <c r="G198" t="s">
        <v>24</v>
      </c>
      <c r="H198" s="4">
        <v>14685.38</v>
      </c>
      <c r="I198">
        <v>2</v>
      </c>
      <c r="J198" s="5">
        <v>0.1</v>
      </c>
      <c r="K198">
        <v>1633.5</v>
      </c>
      <c r="L198" t="s">
        <v>51</v>
      </c>
      <c r="M198" s="16">
        <f t="shared" si="3"/>
        <v>45778</v>
      </c>
    </row>
    <row r="199" spans="1:13" x14ac:dyDescent="0.3">
      <c r="A199" t="s">
        <v>342</v>
      </c>
      <c r="B199" s="3">
        <v>45801.70340681362</v>
      </c>
      <c r="C199" t="s">
        <v>230</v>
      </c>
      <c r="D199" t="s">
        <v>90</v>
      </c>
      <c r="E199" t="s">
        <v>44</v>
      </c>
      <c r="F199" t="s">
        <v>75</v>
      </c>
      <c r="G199" t="s">
        <v>24</v>
      </c>
      <c r="H199" s="4">
        <v>17321.2</v>
      </c>
      <c r="I199">
        <v>2</v>
      </c>
      <c r="J199" s="5">
        <v>0</v>
      </c>
      <c r="K199">
        <v>2231.48</v>
      </c>
      <c r="L199" t="s">
        <v>31</v>
      </c>
      <c r="M199" s="16">
        <f t="shared" si="3"/>
        <v>45778</v>
      </c>
    </row>
    <row r="200" spans="1:13" x14ac:dyDescent="0.3">
      <c r="A200" t="s">
        <v>343</v>
      </c>
      <c r="B200" s="3">
        <v>45802.432865731462</v>
      </c>
      <c r="C200" t="s">
        <v>152</v>
      </c>
      <c r="D200" t="s">
        <v>61</v>
      </c>
      <c r="E200" t="s">
        <v>62</v>
      </c>
      <c r="F200" t="s">
        <v>34</v>
      </c>
      <c r="G200" t="s">
        <v>35</v>
      </c>
      <c r="H200" s="4">
        <v>1712.11</v>
      </c>
      <c r="I200">
        <v>1</v>
      </c>
      <c r="J200" s="5">
        <v>0.1</v>
      </c>
      <c r="K200">
        <v>210.82</v>
      </c>
      <c r="L200" t="s">
        <v>31</v>
      </c>
      <c r="M200" s="16">
        <f t="shared" si="3"/>
        <v>45778</v>
      </c>
    </row>
    <row r="201" spans="1:13" x14ac:dyDescent="0.3">
      <c r="A201" t="s">
        <v>344</v>
      </c>
      <c r="B201" s="3">
        <v>45803.162324649304</v>
      </c>
      <c r="C201" t="s">
        <v>345</v>
      </c>
      <c r="D201" t="s">
        <v>73</v>
      </c>
      <c r="E201" t="s">
        <v>74</v>
      </c>
      <c r="F201" t="s">
        <v>63</v>
      </c>
      <c r="G201" t="s">
        <v>17</v>
      </c>
      <c r="H201" s="4">
        <v>50592.26</v>
      </c>
      <c r="I201">
        <v>2</v>
      </c>
      <c r="J201" s="5">
        <v>0</v>
      </c>
      <c r="K201">
        <v>13934.87</v>
      </c>
      <c r="L201" t="s">
        <v>68</v>
      </c>
      <c r="M201" s="16">
        <f t="shared" si="3"/>
        <v>45778</v>
      </c>
    </row>
    <row r="202" spans="1:13" x14ac:dyDescent="0.3">
      <c r="A202" t="s">
        <v>346</v>
      </c>
      <c r="B202" s="3">
        <v>45803.891783567131</v>
      </c>
      <c r="C202" t="s">
        <v>79</v>
      </c>
      <c r="D202" t="s">
        <v>38</v>
      </c>
      <c r="E202" t="s">
        <v>39</v>
      </c>
      <c r="F202" t="s">
        <v>106</v>
      </c>
      <c r="G202" t="s">
        <v>35</v>
      </c>
      <c r="H202" s="4">
        <v>8429.4500000000007</v>
      </c>
      <c r="I202">
        <v>5</v>
      </c>
      <c r="J202" s="5">
        <v>0</v>
      </c>
      <c r="K202">
        <v>1771.05</v>
      </c>
      <c r="L202" t="s">
        <v>18</v>
      </c>
      <c r="M202" s="16">
        <f t="shared" si="3"/>
        <v>45778</v>
      </c>
    </row>
    <row r="203" spans="1:13" x14ac:dyDescent="0.3">
      <c r="A203" t="s">
        <v>347</v>
      </c>
      <c r="B203" s="3">
        <v>45804.621242484973</v>
      </c>
      <c r="C203" t="s">
        <v>188</v>
      </c>
      <c r="D203" t="s">
        <v>28</v>
      </c>
      <c r="E203" t="s">
        <v>29</v>
      </c>
      <c r="F203" t="s">
        <v>30</v>
      </c>
      <c r="G203" t="s">
        <v>17</v>
      </c>
      <c r="H203" s="4">
        <v>63461.94</v>
      </c>
      <c r="I203">
        <v>2</v>
      </c>
      <c r="J203" s="5">
        <v>0.05</v>
      </c>
      <c r="K203">
        <v>16105.38</v>
      </c>
      <c r="L203" t="s">
        <v>31</v>
      </c>
      <c r="M203" s="16">
        <f t="shared" si="3"/>
        <v>45778</v>
      </c>
    </row>
    <row r="204" spans="1:13" x14ac:dyDescent="0.3">
      <c r="A204" t="s">
        <v>348</v>
      </c>
      <c r="B204" s="3">
        <v>45805.3507014028</v>
      </c>
      <c r="C204" t="s">
        <v>168</v>
      </c>
      <c r="D204" t="s">
        <v>114</v>
      </c>
      <c r="E204" t="s">
        <v>114</v>
      </c>
      <c r="F204" t="s">
        <v>87</v>
      </c>
      <c r="G204" t="s">
        <v>17</v>
      </c>
      <c r="H204" s="4">
        <v>204524.01</v>
      </c>
      <c r="I204">
        <v>4</v>
      </c>
      <c r="J204" s="5">
        <v>0.1</v>
      </c>
      <c r="K204">
        <v>31922.91</v>
      </c>
      <c r="L204" t="s">
        <v>31</v>
      </c>
      <c r="M204" s="16">
        <f t="shared" si="3"/>
        <v>45778</v>
      </c>
    </row>
    <row r="205" spans="1:13" x14ac:dyDescent="0.3">
      <c r="A205" t="s">
        <v>349</v>
      </c>
      <c r="B205" s="3">
        <v>45806.080160320627</v>
      </c>
      <c r="C205" t="s">
        <v>172</v>
      </c>
      <c r="D205" t="s">
        <v>90</v>
      </c>
      <c r="E205" t="s">
        <v>44</v>
      </c>
      <c r="F205" t="s">
        <v>40</v>
      </c>
      <c r="G205" t="s">
        <v>17</v>
      </c>
      <c r="H205" s="4">
        <v>7689.6</v>
      </c>
      <c r="I205">
        <v>4</v>
      </c>
      <c r="J205" s="5">
        <v>0.1</v>
      </c>
      <c r="K205">
        <v>874.22</v>
      </c>
      <c r="L205" t="s">
        <v>31</v>
      </c>
      <c r="M205" s="16">
        <f t="shared" si="3"/>
        <v>45778</v>
      </c>
    </row>
    <row r="206" spans="1:13" x14ac:dyDescent="0.3">
      <c r="A206" t="s">
        <v>350</v>
      </c>
      <c r="B206" s="3">
        <v>45806.809619238469</v>
      </c>
      <c r="C206" t="s">
        <v>58</v>
      </c>
      <c r="D206" t="s">
        <v>71</v>
      </c>
      <c r="E206" t="s">
        <v>55</v>
      </c>
      <c r="F206" t="s">
        <v>106</v>
      </c>
      <c r="G206" t="s">
        <v>35</v>
      </c>
      <c r="H206" s="4">
        <v>3474.46</v>
      </c>
      <c r="I206">
        <v>2</v>
      </c>
      <c r="J206" s="5">
        <v>0.15</v>
      </c>
      <c r="K206">
        <v>913.25</v>
      </c>
      <c r="L206" t="s">
        <v>25</v>
      </c>
      <c r="M206" s="16">
        <f t="shared" si="3"/>
        <v>45778</v>
      </c>
    </row>
    <row r="207" spans="1:13" x14ac:dyDescent="0.3">
      <c r="A207" t="s">
        <v>351</v>
      </c>
      <c r="B207" s="3">
        <v>45807.539078156311</v>
      </c>
      <c r="C207" t="s">
        <v>122</v>
      </c>
      <c r="D207" t="s">
        <v>114</v>
      </c>
      <c r="E207" t="s">
        <v>114</v>
      </c>
      <c r="F207" t="s">
        <v>30</v>
      </c>
      <c r="G207" t="s">
        <v>17</v>
      </c>
      <c r="H207" s="4">
        <v>131644.47</v>
      </c>
      <c r="I207">
        <v>5</v>
      </c>
      <c r="J207" s="5">
        <v>0.05</v>
      </c>
      <c r="K207">
        <v>20914.759999999998</v>
      </c>
      <c r="L207" t="s">
        <v>51</v>
      </c>
      <c r="M207" s="16">
        <f t="shared" si="3"/>
        <v>45778</v>
      </c>
    </row>
    <row r="208" spans="1:13" x14ac:dyDescent="0.3">
      <c r="A208" t="s">
        <v>352</v>
      </c>
      <c r="B208" s="3">
        <v>45808.268537074153</v>
      </c>
      <c r="C208" t="s">
        <v>182</v>
      </c>
      <c r="D208" t="s">
        <v>61</v>
      </c>
      <c r="E208" t="s">
        <v>62</v>
      </c>
      <c r="F208" t="s">
        <v>34</v>
      </c>
      <c r="G208" t="s">
        <v>35</v>
      </c>
      <c r="H208" s="4">
        <v>4619.54</v>
      </c>
      <c r="I208">
        <v>3</v>
      </c>
      <c r="J208" s="5">
        <v>0</v>
      </c>
      <c r="K208">
        <v>376.55</v>
      </c>
      <c r="L208" t="s">
        <v>25</v>
      </c>
      <c r="M208" s="16">
        <f t="shared" si="3"/>
        <v>45778</v>
      </c>
    </row>
    <row r="209" spans="1:13" x14ac:dyDescent="0.3">
      <c r="A209" t="s">
        <v>353</v>
      </c>
      <c r="B209" s="3">
        <v>45808.99799599198</v>
      </c>
      <c r="C209" t="s">
        <v>354</v>
      </c>
      <c r="D209" t="s">
        <v>21</v>
      </c>
      <c r="E209" t="s">
        <v>22</v>
      </c>
      <c r="F209" t="s">
        <v>40</v>
      </c>
      <c r="G209" t="s">
        <v>17</v>
      </c>
      <c r="H209" s="4">
        <v>10738.14</v>
      </c>
      <c r="I209">
        <v>4</v>
      </c>
      <c r="J209" s="5">
        <v>0.05</v>
      </c>
      <c r="K209">
        <v>1076.8699999999999</v>
      </c>
      <c r="L209" t="s">
        <v>25</v>
      </c>
      <c r="M209" s="16">
        <f t="shared" si="3"/>
        <v>45778</v>
      </c>
    </row>
    <row r="210" spans="1:13" x14ac:dyDescent="0.3">
      <c r="A210" t="s">
        <v>355</v>
      </c>
      <c r="B210" s="3">
        <v>45809.727454909807</v>
      </c>
      <c r="C210" t="s">
        <v>356</v>
      </c>
      <c r="D210" t="s">
        <v>21</v>
      </c>
      <c r="E210" t="s">
        <v>22</v>
      </c>
      <c r="F210" t="s">
        <v>63</v>
      </c>
      <c r="G210" t="s">
        <v>17</v>
      </c>
      <c r="H210" s="4">
        <v>67602.45</v>
      </c>
      <c r="I210">
        <v>3</v>
      </c>
      <c r="J210" s="5">
        <v>0</v>
      </c>
      <c r="K210">
        <v>15110.98</v>
      </c>
      <c r="L210" t="s">
        <v>68</v>
      </c>
      <c r="M210" s="16">
        <f t="shared" si="3"/>
        <v>45809</v>
      </c>
    </row>
    <row r="211" spans="1:13" x14ac:dyDescent="0.3">
      <c r="A211" t="s">
        <v>357</v>
      </c>
      <c r="B211" s="3">
        <v>45810.456913827649</v>
      </c>
      <c r="C211" t="s">
        <v>358</v>
      </c>
      <c r="D211" t="s">
        <v>54</v>
      </c>
      <c r="E211" t="s">
        <v>55</v>
      </c>
      <c r="F211" t="s">
        <v>45</v>
      </c>
      <c r="G211" t="s">
        <v>46</v>
      </c>
      <c r="H211" s="4">
        <v>251.69</v>
      </c>
      <c r="I211">
        <v>1</v>
      </c>
      <c r="J211" s="5">
        <v>0</v>
      </c>
      <c r="K211">
        <v>63.4</v>
      </c>
      <c r="L211" t="s">
        <v>31</v>
      </c>
      <c r="M211" s="16">
        <f t="shared" si="3"/>
        <v>45809</v>
      </c>
    </row>
    <row r="212" spans="1:13" x14ac:dyDescent="0.3">
      <c r="A212" t="s">
        <v>359</v>
      </c>
      <c r="B212" s="3">
        <v>45811.186372745477</v>
      </c>
      <c r="C212" t="s">
        <v>83</v>
      </c>
      <c r="D212" t="s">
        <v>73</v>
      </c>
      <c r="E212" t="s">
        <v>74</v>
      </c>
      <c r="F212" t="s">
        <v>45</v>
      </c>
      <c r="G212" t="s">
        <v>360</v>
      </c>
      <c r="H212" s="4">
        <v>977.36</v>
      </c>
      <c r="I212">
        <v>4</v>
      </c>
      <c r="J212" s="5">
        <v>0</v>
      </c>
      <c r="K212">
        <v>237.64</v>
      </c>
      <c r="L212" t="s">
        <v>68</v>
      </c>
      <c r="M212" s="16">
        <f t="shared" si="3"/>
        <v>45809</v>
      </c>
    </row>
    <row r="213" spans="1:13" x14ac:dyDescent="0.3">
      <c r="A213" t="s">
        <v>361</v>
      </c>
      <c r="B213" s="3">
        <v>45811.915831663318</v>
      </c>
      <c r="C213" t="s">
        <v>236</v>
      </c>
      <c r="D213" t="s">
        <v>73</v>
      </c>
      <c r="E213" t="s">
        <v>74</v>
      </c>
      <c r="F213" t="s">
        <v>34</v>
      </c>
      <c r="G213" t="s">
        <v>35</v>
      </c>
      <c r="H213" s="4">
        <v>7883.2</v>
      </c>
      <c r="I213">
        <v>5</v>
      </c>
      <c r="J213" s="5">
        <v>0.15</v>
      </c>
      <c r="K213">
        <v>2024.73</v>
      </c>
      <c r="L213" t="s">
        <v>31</v>
      </c>
      <c r="M213" s="16">
        <f t="shared" si="3"/>
        <v>45809</v>
      </c>
    </row>
    <row r="214" spans="1:13" x14ac:dyDescent="0.3">
      <c r="A214" t="s">
        <v>362</v>
      </c>
      <c r="B214" s="3">
        <v>45812.64529058116</v>
      </c>
      <c r="C214" t="s">
        <v>190</v>
      </c>
      <c r="D214" t="s">
        <v>73</v>
      </c>
      <c r="E214" t="s">
        <v>74</v>
      </c>
      <c r="F214" t="s">
        <v>23</v>
      </c>
      <c r="G214" t="s">
        <v>24</v>
      </c>
      <c r="H214" s="4">
        <v>18398.05</v>
      </c>
      <c r="I214">
        <v>2</v>
      </c>
      <c r="J214" s="5">
        <v>0.2</v>
      </c>
      <c r="K214">
        <v>4304.9399999999996</v>
      </c>
      <c r="L214" t="s">
        <v>18</v>
      </c>
      <c r="M214" s="16">
        <f t="shared" si="3"/>
        <v>45809</v>
      </c>
    </row>
    <row r="215" spans="1:13" x14ac:dyDescent="0.3">
      <c r="A215" t="s">
        <v>363</v>
      </c>
      <c r="B215" s="3">
        <v>45813.374749498988</v>
      </c>
      <c r="C215" t="s">
        <v>219</v>
      </c>
      <c r="D215" t="s">
        <v>114</v>
      </c>
      <c r="E215" t="s">
        <v>114</v>
      </c>
      <c r="F215" t="s">
        <v>16</v>
      </c>
      <c r="G215" t="s">
        <v>17</v>
      </c>
      <c r="H215" s="4">
        <v>25456.18</v>
      </c>
      <c r="I215">
        <v>2</v>
      </c>
      <c r="J215" s="5">
        <v>0.15</v>
      </c>
      <c r="K215">
        <v>5454.88</v>
      </c>
      <c r="L215" t="s">
        <v>18</v>
      </c>
      <c r="M215" s="16">
        <f t="shared" si="3"/>
        <v>45809</v>
      </c>
    </row>
    <row r="216" spans="1:13" x14ac:dyDescent="0.3">
      <c r="A216" t="s">
        <v>364</v>
      </c>
      <c r="B216" s="3">
        <v>45814.104208416829</v>
      </c>
      <c r="C216" t="s">
        <v>186</v>
      </c>
      <c r="D216" t="s">
        <v>54</v>
      </c>
      <c r="E216" t="s">
        <v>55</v>
      </c>
      <c r="F216" t="s">
        <v>45</v>
      </c>
      <c r="G216" t="s">
        <v>46</v>
      </c>
      <c r="H216" s="4">
        <v>244.3</v>
      </c>
      <c r="I216">
        <v>1</v>
      </c>
      <c r="J216" s="5">
        <v>0</v>
      </c>
      <c r="K216">
        <v>31.04</v>
      </c>
      <c r="L216" t="s">
        <v>31</v>
      </c>
      <c r="M216" s="16">
        <f t="shared" si="3"/>
        <v>45809</v>
      </c>
    </row>
    <row r="217" spans="1:13" x14ac:dyDescent="0.3">
      <c r="A217" t="s">
        <v>365</v>
      </c>
      <c r="B217" s="3">
        <v>45814.833667334657</v>
      </c>
      <c r="C217" t="s">
        <v>216</v>
      </c>
      <c r="D217" t="s">
        <v>14</v>
      </c>
      <c r="E217" t="s">
        <v>15</v>
      </c>
      <c r="F217" t="s">
        <v>106</v>
      </c>
      <c r="G217" t="s">
        <v>35</v>
      </c>
      <c r="H217" s="4">
        <v>1545.04</v>
      </c>
      <c r="I217">
        <v>1</v>
      </c>
      <c r="J217" s="5">
        <v>0.05</v>
      </c>
      <c r="K217">
        <v>194.75</v>
      </c>
      <c r="L217" t="s">
        <v>31</v>
      </c>
      <c r="M217" s="16">
        <f t="shared" si="3"/>
        <v>45809</v>
      </c>
    </row>
    <row r="218" spans="1:13" x14ac:dyDescent="0.3">
      <c r="A218" t="s">
        <v>366</v>
      </c>
      <c r="B218" s="3">
        <v>45815.563126252498</v>
      </c>
      <c r="C218" t="s">
        <v>124</v>
      </c>
      <c r="D218" t="s">
        <v>38</v>
      </c>
      <c r="E218" t="s">
        <v>39</v>
      </c>
      <c r="F218" t="s">
        <v>94</v>
      </c>
      <c r="G218" t="s">
        <v>46</v>
      </c>
      <c r="H218" s="4">
        <v>25173.77</v>
      </c>
      <c r="I218">
        <v>2</v>
      </c>
      <c r="J218" s="5">
        <v>0.1</v>
      </c>
      <c r="K218">
        <v>5416.6</v>
      </c>
      <c r="L218" t="s">
        <v>68</v>
      </c>
      <c r="M218" s="16">
        <f t="shared" si="3"/>
        <v>45809</v>
      </c>
    </row>
    <row r="219" spans="1:13" x14ac:dyDescent="0.3">
      <c r="A219" t="s">
        <v>367</v>
      </c>
      <c r="B219" s="3">
        <v>45816.292585170333</v>
      </c>
      <c r="C219" t="s">
        <v>207</v>
      </c>
      <c r="D219" t="s">
        <v>14</v>
      </c>
      <c r="E219" t="s">
        <v>15</v>
      </c>
      <c r="F219" t="s">
        <v>94</v>
      </c>
      <c r="G219" t="s">
        <v>46</v>
      </c>
      <c r="H219" s="4">
        <v>12180.13</v>
      </c>
      <c r="I219">
        <v>1</v>
      </c>
      <c r="J219" s="5">
        <v>0.05</v>
      </c>
      <c r="K219">
        <v>2968.8</v>
      </c>
      <c r="L219" t="s">
        <v>51</v>
      </c>
      <c r="M219" s="16">
        <f t="shared" si="3"/>
        <v>45809</v>
      </c>
    </row>
    <row r="220" spans="1:13" x14ac:dyDescent="0.3">
      <c r="A220" t="s">
        <v>368</v>
      </c>
      <c r="B220" s="3">
        <v>45817.022044088168</v>
      </c>
      <c r="C220" t="s">
        <v>238</v>
      </c>
      <c r="D220" t="s">
        <v>14</v>
      </c>
      <c r="E220" t="s">
        <v>15</v>
      </c>
      <c r="F220" t="s">
        <v>16</v>
      </c>
      <c r="G220" t="s">
        <v>17</v>
      </c>
      <c r="H220" s="4">
        <v>78278.009999999995</v>
      </c>
      <c r="I220">
        <v>5</v>
      </c>
      <c r="J220" s="5">
        <v>0</v>
      </c>
      <c r="K220">
        <v>11324.82</v>
      </c>
      <c r="L220" t="s">
        <v>31</v>
      </c>
      <c r="M220" s="16">
        <f t="shared" si="3"/>
        <v>45809</v>
      </c>
    </row>
    <row r="221" spans="1:13" x14ac:dyDescent="0.3">
      <c r="A221" t="s">
        <v>369</v>
      </c>
      <c r="B221" s="3">
        <v>45817.751503006009</v>
      </c>
      <c r="C221" t="s">
        <v>65</v>
      </c>
      <c r="D221" t="s">
        <v>14</v>
      </c>
      <c r="E221" t="s">
        <v>15</v>
      </c>
      <c r="F221" t="s">
        <v>16</v>
      </c>
      <c r="G221" t="s">
        <v>17</v>
      </c>
      <c r="H221" s="4">
        <v>70400.259999999995</v>
      </c>
      <c r="I221">
        <v>5</v>
      </c>
      <c r="J221" s="5">
        <v>0</v>
      </c>
      <c r="K221">
        <v>16901.080000000002</v>
      </c>
      <c r="L221" t="s">
        <v>51</v>
      </c>
      <c r="M221" s="16">
        <f t="shared" si="3"/>
        <v>45809</v>
      </c>
    </row>
    <row r="222" spans="1:13" x14ac:dyDescent="0.3">
      <c r="A222" t="s">
        <v>370</v>
      </c>
      <c r="B222" s="3">
        <v>45818.480961923837</v>
      </c>
      <c r="C222" t="s">
        <v>156</v>
      </c>
      <c r="D222" t="s">
        <v>71</v>
      </c>
      <c r="E222" t="s">
        <v>55</v>
      </c>
      <c r="F222" t="s">
        <v>56</v>
      </c>
      <c r="G222" t="s">
        <v>35</v>
      </c>
      <c r="H222" s="4">
        <v>3239.77</v>
      </c>
      <c r="I222">
        <v>4</v>
      </c>
      <c r="J222" s="5">
        <v>0.05</v>
      </c>
      <c r="K222">
        <v>692.98</v>
      </c>
      <c r="L222" t="s">
        <v>31</v>
      </c>
      <c r="M222" s="16">
        <f t="shared" si="3"/>
        <v>45809</v>
      </c>
    </row>
    <row r="223" spans="1:13" x14ac:dyDescent="0.3">
      <c r="A223" t="s">
        <v>371</v>
      </c>
      <c r="B223" s="3">
        <v>45819.210420841679</v>
      </c>
      <c r="C223" t="s">
        <v>154</v>
      </c>
      <c r="D223" t="s">
        <v>71</v>
      </c>
      <c r="E223" t="s">
        <v>55</v>
      </c>
      <c r="F223" t="s">
        <v>30</v>
      </c>
      <c r="G223" t="s">
        <v>17</v>
      </c>
      <c r="H223" s="4">
        <v>93748.61</v>
      </c>
      <c r="I223">
        <v>4</v>
      </c>
      <c r="J223" s="5">
        <v>0.1</v>
      </c>
      <c r="K223">
        <v>25455.1</v>
      </c>
      <c r="L223" t="s">
        <v>51</v>
      </c>
      <c r="M223" s="16">
        <f t="shared" si="3"/>
        <v>45809</v>
      </c>
    </row>
    <row r="224" spans="1:13" x14ac:dyDescent="0.3">
      <c r="A224" t="s">
        <v>372</v>
      </c>
      <c r="B224" s="3">
        <v>45819.939879759513</v>
      </c>
      <c r="C224" t="s">
        <v>133</v>
      </c>
      <c r="D224" t="s">
        <v>38</v>
      </c>
      <c r="E224" t="s">
        <v>39</v>
      </c>
      <c r="F224" t="s">
        <v>75</v>
      </c>
      <c r="G224" t="s">
        <v>24</v>
      </c>
      <c r="H224" s="4">
        <v>30918.39</v>
      </c>
      <c r="I224">
        <v>4</v>
      </c>
      <c r="J224" s="5">
        <v>0.1</v>
      </c>
      <c r="K224">
        <v>7392.28</v>
      </c>
      <c r="L224" t="s">
        <v>68</v>
      </c>
      <c r="M224" s="16">
        <f t="shared" si="3"/>
        <v>45809</v>
      </c>
    </row>
    <row r="225" spans="1:13" x14ac:dyDescent="0.3">
      <c r="A225" t="s">
        <v>373</v>
      </c>
      <c r="B225" s="3">
        <v>45820.669338677348</v>
      </c>
      <c r="C225" t="s">
        <v>269</v>
      </c>
      <c r="D225" t="s">
        <v>54</v>
      </c>
      <c r="E225" t="s">
        <v>55</v>
      </c>
      <c r="F225" t="s">
        <v>23</v>
      </c>
      <c r="G225" t="s">
        <v>24</v>
      </c>
      <c r="H225" s="4">
        <v>39877.79</v>
      </c>
      <c r="I225">
        <v>4</v>
      </c>
      <c r="J225" s="5">
        <v>0.1</v>
      </c>
      <c r="K225">
        <v>3931.38</v>
      </c>
      <c r="L225" t="s">
        <v>31</v>
      </c>
      <c r="M225" s="16">
        <f t="shared" si="3"/>
        <v>45809</v>
      </c>
    </row>
    <row r="226" spans="1:13" x14ac:dyDescent="0.3">
      <c r="A226" t="s">
        <v>374</v>
      </c>
      <c r="B226" s="3">
        <v>45821.398797595182</v>
      </c>
      <c r="C226" t="s">
        <v>327</v>
      </c>
      <c r="D226" t="s">
        <v>114</v>
      </c>
      <c r="E226" t="s">
        <v>114</v>
      </c>
      <c r="F226" t="s">
        <v>63</v>
      </c>
      <c r="G226" t="s">
        <v>17</v>
      </c>
      <c r="H226" s="4">
        <v>93510.86</v>
      </c>
      <c r="I226">
        <v>4</v>
      </c>
      <c r="J226" s="5">
        <v>0</v>
      </c>
      <c r="K226">
        <v>13150.03</v>
      </c>
      <c r="L226" t="s">
        <v>31</v>
      </c>
      <c r="M226" s="16">
        <f t="shared" si="3"/>
        <v>45809</v>
      </c>
    </row>
    <row r="227" spans="1:13" x14ac:dyDescent="0.3">
      <c r="A227" t="s">
        <v>375</v>
      </c>
      <c r="B227" s="3">
        <v>45822.128256513017</v>
      </c>
      <c r="C227" t="s">
        <v>216</v>
      </c>
      <c r="D227" t="s">
        <v>114</v>
      </c>
      <c r="E227" t="s">
        <v>114</v>
      </c>
      <c r="F227" t="s">
        <v>30</v>
      </c>
      <c r="G227" t="s">
        <v>17</v>
      </c>
      <c r="H227" s="4">
        <v>74659.039999999994</v>
      </c>
      <c r="I227">
        <v>3</v>
      </c>
      <c r="J227" s="5">
        <v>0.1</v>
      </c>
      <c r="K227">
        <v>18295.740000000002</v>
      </c>
      <c r="L227" t="s">
        <v>25</v>
      </c>
      <c r="M227" s="16">
        <f t="shared" si="3"/>
        <v>45809</v>
      </c>
    </row>
    <row r="228" spans="1:13" x14ac:dyDescent="0.3">
      <c r="A228" t="s">
        <v>376</v>
      </c>
      <c r="B228" s="3">
        <v>45822.857715430859</v>
      </c>
      <c r="C228" t="s">
        <v>207</v>
      </c>
      <c r="D228" t="s">
        <v>43</v>
      </c>
      <c r="E228" t="s">
        <v>44</v>
      </c>
      <c r="F228" t="s">
        <v>75</v>
      </c>
      <c r="G228" t="s">
        <v>24</v>
      </c>
      <c r="H228" s="4">
        <v>26386.959999999999</v>
      </c>
      <c r="I228">
        <v>3</v>
      </c>
      <c r="J228" s="5">
        <v>0.1</v>
      </c>
      <c r="K228">
        <v>5101</v>
      </c>
      <c r="L228" t="s">
        <v>25</v>
      </c>
      <c r="M228" s="16">
        <f t="shared" si="3"/>
        <v>45809</v>
      </c>
    </row>
    <row r="229" spans="1:13" x14ac:dyDescent="0.3">
      <c r="A229" t="s">
        <v>377</v>
      </c>
      <c r="B229" s="3">
        <v>45823.587174348693</v>
      </c>
      <c r="C229" t="s">
        <v>378</v>
      </c>
      <c r="D229" t="s">
        <v>90</v>
      </c>
      <c r="E229" t="s">
        <v>44</v>
      </c>
      <c r="F229" t="s">
        <v>45</v>
      </c>
      <c r="G229" t="s">
        <v>46</v>
      </c>
      <c r="H229" s="4">
        <v>467.27</v>
      </c>
      <c r="I229">
        <v>2</v>
      </c>
      <c r="J229" s="5">
        <v>0.1</v>
      </c>
      <c r="K229">
        <v>87.14</v>
      </c>
      <c r="L229" t="s">
        <v>25</v>
      </c>
      <c r="M229" s="16">
        <f t="shared" si="3"/>
        <v>45809</v>
      </c>
    </row>
    <row r="230" spans="1:13" x14ac:dyDescent="0.3">
      <c r="A230" t="s">
        <v>379</v>
      </c>
      <c r="B230" s="3">
        <v>45824.316633266528</v>
      </c>
      <c r="C230" t="s">
        <v>282</v>
      </c>
      <c r="D230" t="s">
        <v>38</v>
      </c>
      <c r="E230" t="s">
        <v>39</v>
      </c>
      <c r="F230" t="s">
        <v>106</v>
      </c>
      <c r="G230" t="s">
        <v>35</v>
      </c>
      <c r="H230" s="4">
        <v>4384</v>
      </c>
      <c r="I230">
        <v>3</v>
      </c>
      <c r="J230" s="5">
        <v>0.1</v>
      </c>
      <c r="K230">
        <v>654.17999999999995</v>
      </c>
      <c r="L230" t="s">
        <v>51</v>
      </c>
      <c r="M230" s="16">
        <f t="shared" si="3"/>
        <v>45809</v>
      </c>
    </row>
    <row r="231" spans="1:13" x14ac:dyDescent="0.3">
      <c r="A231" t="s">
        <v>380</v>
      </c>
      <c r="B231" s="3">
        <v>45825.046092184362</v>
      </c>
      <c r="C231" t="s">
        <v>381</v>
      </c>
      <c r="D231" t="s">
        <v>38</v>
      </c>
      <c r="E231" t="s">
        <v>39</v>
      </c>
      <c r="F231" t="s">
        <v>30</v>
      </c>
      <c r="G231" t="s">
        <v>17</v>
      </c>
      <c r="H231" s="4">
        <v>28323.48</v>
      </c>
      <c r="I231">
        <v>1</v>
      </c>
      <c r="J231" s="5">
        <v>0.05</v>
      </c>
      <c r="K231">
        <v>5700.79</v>
      </c>
      <c r="L231" t="s">
        <v>68</v>
      </c>
      <c r="M231" s="16">
        <f t="shared" si="3"/>
        <v>45809</v>
      </c>
    </row>
    <row r="232" spans="1:13" x14ac:dyDescent="0.3">
      <c r="A232" t="s">
        <v>382</v>
      </c>
      <c r="B232" s="3">
        <v>45825.775551102197</v>
      </c>
      <c r="C232" t="s">
        <v>383</v>
      </c>
      <c r="D232" t="s">
        <v>54</v>
      </c>
      <c r="E232" t="s">
        <v>55</v>
      </c>
      <c r="F232" t="s">
        <v>40</v>
      </c>
      <c r="G232" t="s">
        <v>17</v>
      </c>
      <c r="H232" s="4">
        <v>7271.99</v>
      </c>
      <c r="I232">
        <v>3</v>
      </c>
      <c r="J232" s="5">
        <v>0</v>
      </c>
      <c r="K232">
        <v>1116.3</v>
      </c>
      <c r="L232" t="s">
        <v>51</v>
      </c>
      <c r="M232" s="16">
        <f t="shared" si="3"/>
        <v>45809</v>
      </c>
    </row>
    <row r="233" spans="1:13" x14ac:dyDescent="0.3">
      <c r="A233" t="s">
        <v>384</v>
      </c>
      <c r="B233" s="3">
        <v>45826.505010020031</v>
      </c>
      <c r="C233" t="s">
        <v>93</v>
      </c>
      <c r="D233" t="s">
        <v>54</v>
      </c>
      <c r="E233" t="s">
        <v>55</v>
      </c>
      <c r="F233" t="s">
        <v>94</v>
      </c>
      <c r="G233" t="s">
        <v>46</v>
      </c>
      <c r="H233" s="4">
        <v>44573.47</v>
      </c>
      <c r="I233">
        <v>4</v>
      </c>
      <c r="J233" s="5">
        <v>0.15</v>
      </c>
      <c r="K233">
        <v>4653.78</v>
      </c>
      <c r="L233" t="s">
        <v>51</v>
      </c>
      <c r="M233" s="16">
        <f t="shared" si="3"/>
        <v>45809</v>
      </c>
    </row>
    <row r="234" spans="1:13" x14ac:dyDescent="0.3">
      <c r="A234" t="s">
        <v>385</v>
      </c>
      <c r="B234" s="3">
        <v>45827.234468937873</v>
      </c>
      <c r="C234" t="s">
        <v>175</v>
      </c>
      <c r="D234" t="s">
        <v>61</v>
      </c>
      <c r="E234" t="s">
        <v>62</v>
      </c>
      <c r="F234" t="s">
        <v>56</v>
      </c>
      <c r="G234" t="s">
        <v>35</v>
      </c>
      <c r="H234" s="4">
        <v>3463.99</v>
      </c>
      <c r="I234">
        <v>5</v>
      </c>
      <c r="J234" s="5">
        <v>0.1</v>
      </c>
      <c r="K234">
        <v>529.85</v>
      </c>
      <c r="L234" t="s">
        <v>18</v>
      </c>
      <c r="M234" s="16">
        <f t="shared" si="3"/>
        <v>45809</v>
      </c>
    </row>
    <row r="235" spans="1:13" x14ac:dyDescent="0.3">
      <c r="A235" t="s">
        <v>386</v>
      </c>
      <c r="B235" s="3">
        <v>45827.963927855708</v>
      </c>
      <c r="C235" t="s">
        <v>194</v>
      </c>
      <c r="D235" t="s">
        <v>43</v>
      </c>
      <c r="E235" t="s">
        <v>44</v>
      </c>
      <c r="F235" t="s">
        <v>45</v>
      </c>
      <c r="G235" t="s">
        <v>46</v>
      </c>
      <c r="H235" s="4">
        <v>173.49</v>
      </c>
      <c r="I235">
        <v>1</v>
      </c>
      <c r="J235" s="5">
        <v>0.2</v>
      </c>
      <c r="K235">
        <v>15.88</v>
      </c>
      <c r="L235" t="s">
        <v>18</v>
      </c>
      <c r="M235" s="16">
        <f t="shared" si="3"/>
        <v>45809</v>
      </c>
    </row>
    <row r="236" spans="1:13" x14ac:dyDescent="0.3">
      <c r="A236" t="s">
        <v>387</v>
      </c>
      <c r="B236" s="3">
        <v>45828.693386773542</v>
      </c>
      <c r="C236" t="s">
        <v>316</v>
      </c>
      <c r="D236" t="s">
        <v>38</v>
      </c>
      <c r="E236" t="s">
        <v>39</v>
      </c>
      <c r="F236" t="s">
        <v>40</v>
      </c>
      <c r="G236" t="s">
        <v>17</v>
      </c>
      <c r="H236" s="4">
        <v>10526.18</v>
      </c>
      <c r="I236">
        <v>5</v>
      </c>
      <c r="J236" s="5">
        <v>0.05</v>
      </c>
      <c r="K236">
        <v>1054.82</v>
      </c>
      <c r="L236" t="s">
        <v>25</v>
      </c>
      <c r="M236" s="16">
        <f t="shared" si="3"/>
        <v>45809</v>
      </c>
    </row>
    <row r="237" spans="1:13" x14ac:dyDescent="0.3">
      <c r="A237" t="s">
        <v>388</v>
      </c>
      <c r="B237" s="3">
        <v>45829.422845691377</v>
      </c>
      <c r="C237" t="s">
        <v>205</v>
      </c>
      <c r="D237" t="s">
        <v>54</v>
      </c>
      <c r="E237" t="s">
        <v>55</v>
      </c>
      <c r="F237" t="s">
        <v>75</v>
      </c>
      <c r="G237" t="s">
        <v>24</v>
      </c>
      <c r="H237" s="4">
        <v>8278.14</v>
      </c>
      <c r="I237">
        <v>1</v>
      </c>
      <c r="J237" s="5">
        <v>0</v>
      </c>
      <c r="K237">
        <v>949.92</v>
      </c>
      <c r="L237" t="s">
        <v>51</v>
      </c>
      <c r="M237" s="16">
        <f t="shared" si="3"/>
        <v>45809</v>
      </c>
    </row>
    <row r="238" spans="1:13" x14ac:dyDescent="0.3">
      <c r="A238" t="s">
        <v>389</v>
      </c>
      <c r="B238" s="3">
        <v>45830.152304609212</v>
      </c>
      <c r="C238" t="s">
        <v>202</v>
      </c>
      <c r="D238" t="s">
        <v>114</v>
      </c>
      <c r="E238" t="s">
        <v>114</v>
      </c>
      <c r="F238" t="s">
        <v>16</v>
      </c>
      <c r="G238" t="s">
        <v>17</v>
      </c>
      <c r="H238" s="4">
        <v>60245.06</v>
      </c>
      <c r="I238">
        <v>5</v>
      </c>
      <c r="J238" s="5">
        <v>0.1</v>
      </c>
      <c r="K238">
        <v>10622.83</v>
      </c>
      <c r="L238" t="s">
        <v>68</v>
      </c>
      <c r="M238" s="16">
        <f t="shared" si="3"/>
        <v>45809</v>
      </c>
    </row>
    <row r="239" spans="1:13" x14ac:dyDescent="0.3">
      <c r="A239" t="s">
        <v>390</v>
      </c>
      <c r="B239" s="3">
        <v>45830.881763527053</v>
      </c>
      <c r="C239" t="s">
        <v>391</v>
      </c>
      <c r="D239" t="s">
        <v>28</v>
      </c>
      <c r="E239" t="s">
        <v>29</v>
      </c>
      <c r="F239" t="s">
        <v>106</v>
      </c>
      <c r="G239" t="s">
        <v>35</v>
      </c>
      <c r="H239" s="4">
        <v>3044.28</v>
      </c>
      <c r="I239">
        <v>2</v>
      </c>
      <c r="J239" s="5">
        <v>0.05</v>
      </c>
      <c r="K239">
        <v>724.74</v>
      </c>
      <c r="L239" t="s">
        <v>51</v>
      </c>
      <c r="M239" s="16">
        <f t="shared" si="3"/>
        <v>45809</v>
      </c>
    </row>
    <row r="240" spans="1:13" x14ac:dyDescent="0.3">
      <c r="A240" t="s">
        <v>392</v>
      </c>
      <c r="B240" s="3">
        <v>45831.611222444881</v>
      </c>
      <c r="C240" t="s">
        <v>152</v>
      </c>
      <c r="D240" t="s">
        <v>49</v>
      </c>
      <c r="E240" t="s">
        <v>50</v>
      </c>
      <c r="F240" t="s">
        <v>75</v>
      </c>
      <c r="G240" t="s">
        <v>24</v>
      </c>
      <c r="H240" s="4">
        <v>41155.230000000003</v>
      </c>
      <c r="I240">
        <v>5</v>
      </c>
      <c r="J240" s="5">
        <v>0</v>
      </c>
      <c r="K240">
        <v>5277.76</v>
      </c>
      <c r="L240" t="s">
        <v>51</v>
      </c>
      <c r="M240" s="16">
        <f t="shared" si="3"/>
        <v>45809</v>
      </c>
    </row>
    <row r="241" spans="1:13" x14ac:dyDescent="0.3">
      <c r="A241" t="s">
        <v>393</v>
      </c>
      <c r="B241" s="3">
        <v>45832.340681362723</v>
      </c>
      <c r="C241" t="s">
        <v>77</v>
      </c>
      <c r="D241" t="s">
        <v>114</v>
      </c>
      <c r="E241" t="s">
        <v>114</v>
      </c>
      <c r="F241" t="s">
        <v>16</v>
      </c>
      <c r="G241" t="s">
        <v>17</v>
      </c>
      <c r="H241" s="4">
        <v>11124.8</v>
      </c>
      <c r="I241">
        <v>1</v>
      </c>
      <c r="J241" s="5">
        <v>0.1</v>
      </c>
      <c r="K241">
        <v>1900.96</v>
      </c>
      <c r="L241" t="s">
        <v>68</v>
      </c>
      <c r="M241" s="16">
        <f t="shared" si="3"/>
        <v>45809</v>
      </c>
    </row>
    <row r="242" spans="1:13" x14ac:dyDescent="0.3">
      <c r="A242" t="s">
        <v>394</v>
      </c>
      <c r="B242" s="3">
        <v>45833.070140280557</v>
      </c>
      <c r="C242" t="s">
        <v>395</v>
      </c>
      <c r="D242" t="s">
        <v>73</v>
      </c>
      <c r="E242" t="s">
        <v>74</v>
      </c>
      <c r="F242" t="s">
        <v>16</v>
      </c>
      <c r="G242" t="s">
        <v>17</v>
      </c>
      <c r="H242" s="4">
        <v>23874.55</v>
      </c>
      <c r="I242">
        <v>2</v>
      </c>
      <c r="J242" s="5">
        <v>0.1</v>
      </c>
      <c r="K242">
        <v>4182.91</v>
      </c>
      <c r="L242" t="s">
        <v>68</v>
      </c>
      <c r="M242" s="16">
        <f t="shared" si="3"/>
        <v>45809</v>
      </c>
    </row>
    <row r="243" spans="1:13" x14ac:dyDescent="0.3">
      <c r="A243" t="s">
        <v>396</v>
      </c>
      <c r="B243" s="3">
        <v>45833.799599198392</v>
      </c>
      <c r="C243" t="s">
        <v>194</v>
      </c>
      <c r="D243" t="s">
        <v>28</v>
      </c>
      <c r="E243" t="s">
        <v>29</v>
      </c>
      <c r="F243" t="s">
        <v>45</v>
      </c>
      <c r="G243" t="s">
        <v>46</v>
      </c>
      <c r="H243" s="4">
        <v>1421.08</v>
      </c>
      <c r="I243">
        <v>5</v>
      </c>
      <c r="J243" s="5">
        <v>0</v>
      </c>
      <c r="K243">
        <v>142.72</v>
      </c>
      <c r="L243" t="s">
        <v>31</v>
      </c>
      <c r="M243" s="16">
        <f t="shared" si="3"/>
        <v>45809</v>
      </c>
    </row>
    <row r="244" spans="1:13" x14ac:dyDescent="0.3">
      <c r="A244" t="s">
        <v>397</v>
      </c>
      <c r="B244" s="3">
        <v>45834.529058116234</v>
      </c>
      <c r="C244" t="s">
        <v>83</v>
      </c>
      <c r="D244" t="s">
        <v>90</v>
      </c>
      <c r="E244" t="s">
        <v>44</v>
      </c>
      <c r="F244" t="s">
        <v>30</v>
      </c>
      <c r="G244" t="s">
        <v>17</v>
      </c>
      <c r="H244" s="4">
        <v>99513.46</v>
      </c>
      <c r="I244">
        <v>4</v>
      </c>
      <c r="J244" s="5">
        <v>0.05</v>
      </c>
      <c r="K244">
        <v>26476.93</v>
      </c>
      <c r="L244" t="s">
        <v>68</v>
      </c>
      <c r="M244" s="16">
        <f t="shared" si="3"/>
        <v>45809</v>
      </c>
    </row>
    <row r="245" spans="1:13" x14ac:dyDescent="0.3">
      <c r="A245" t="s">
        <v>398</v>
      </c>
      <c r="B245" s="3">
        <v>45835.258517034061</v>
      </c>
      <c r="C245" t="s">
        <v>67</v>
      </c>
      <c r="D245" t="s">
        <v>61</v>
      </c>
      <c r="E245" t="s">
        <v>62</v>
      </c>
      <c r="F245" t="s">
        <v>34</v>
      </c>
      <c r="G245" t="s">
        <v>35</v>
      </c>
      <c r="H245" s="4">
        <v>3303.4</v>
      </c>
      <c r="I245">
        <v>2</v>
      </c>
      <c r="J245" s="5">
        <v>0.05</v>
      </c>
      <c r="K245">
        <v>414.22</v>
      </c>
      <c r="L245" t="s">
        <v>68</v>
      </c>
      <c r="M245" s="16">
        <f t="shared" si="3"/>
        <v>45809</v>
      </c>
    </row>
    <row r="246" spans="1:13" x14ac:dyDescent="0.3">
      <c r="A246" t="s">
        <v>399</v>
      </c>
      <c r="B246" s="3">
        <v>45835.987975951903</v>
      </c>
      <c r="C246" t="s">
        <v>154</v>
      </c>
      <c r="D246" t="s">
        <v>71</v>
      </c>
      <c r="E246" t="s">
        <v>55</v>
      </c>
      <c r="F246" t="s">
        <v>106</v>
      </c>
      <c r="G246" t="s">
        <v>35</v>
      </c>
      <c r="H246" s="4">
        <v>6503.76</v>
      </c>
      <c r="I246">
        <v>4</v>
      </c>
      <c r="J246" s="5">
        <v>0.1</v>
      </c>
      <c r="K246">
        <v>574.51</v>
      </c>
      <c r="L246" t="s">
        <v>18</v>
      </c>
      <c r="M246" s="16">
        <f t="shared" si="3"/>
        <v>45809</v>
      </c>
    </row>
    <row r="247" spans="1:13" x14ac:dyDescent="0.3">
      <c r="A247" t="s">
        <v>400</v>
      </c>
      <c r="B247" s="3">
        <v>45836.717434869737</v>
      </c>
      <c r="C247" t="s">
        <v>401</v>
      </c>
      <c r="D247" t="s">
        <v>90</v>
      </c>
      <c r="E247" t="s">
        <v>44</v>
      </c>
      <c r="F247" t="s">
        <v>40</v>
      </c>
      <c r="G247" t="s">
        <v>17</v>
      </c>
      <c r="H247" s="4">
        <v>5121.79</v>
      </c>
      <c r="I247">
        <v>3</v>
      </c>
      <c r="J247" s="5">
        <v>0.2</v>
      </c>
      <c r="K247">
        <v>1165.22</v>
      </c>
      <c r="L247" t="s">
        <v>18</v>
      </c>
      <c r="M247" s="16">
        <f t="shared" si="3"/>
        <v>45809</v>
      </c>
    </row>
    <row r="248" spans="1:13" x14ac:dyDescent="0.3">
      <c r="A248" t="s">
        <v>402</v>
      </c>
      <c r="B248" s="3">
        <v>45837.446893787572</v>
      </c>
      <c r="C248" t="s">
        <v>198</v>
      </c>
      <c r="D248" t="s">
        <v>54</v>
      </c>
      <c r="E248" t="s">
        <v>55</v>
      </c>
      <c r="F248" t="s">
        <v>40</v>
      </c>
      <c r="G248" t="s">
        <v>17</v>
      </c>
      <c r="H248" s="4">
        <v>6791.69</v>
      </c>
      <c r="I248">
        <v>3</v>
      </c>
      <c r="J248" s="5">
        <v>0</v>
      </c>
      <c r="K248">
        <v>676.99</v>
      </c>
      <c r="L248" t="s">
        <v>51</v>
      </c>
      <c r="M248" s="16">
        <f t="shared" si="3"/>
        <v>45809</v>
      </c>
    </row>
    <row r="249" spans="1:13" x14ac:dyDescent="0.3">
      <c r="A249" t="s">
        <v>403</v>
      </c>
      <c r="B249" s="3">
        <v>45838.176352705414</v>
      </c>
      <c r="C249" t="s">
        <v>327</v>
      </c>
      <c r="D249" t="s">
        <v>28</v>
      </c>
      <c r="E249" t="s">
        <v>29</v>
      </c>
      <c r="F249" t="s">
        <v>63</v>
      </c>
      <c r="G249" t="s">
        <v>17</v>
      </c>
      <c r="H249" s="4">
        <v>17552.45</v>
      </c>
      <c r="I249">
        <v>1</v>
      </c>
      <c r="J249" s="5">
        <v>0.15</v>
      </c>
      <c r="K249">
        <v>3597.07</v>
      </c>
      <c r="L249" t="s">
        <v>18</v>
      </c>
      <c r="M249" s="16">
        <f t="shared" si="3"/>
        <v>45809</v>
      </c>
    </row>
    <row r="250" spans="1:13" x14ac:dyDescent="0.3">
      <c r="A250" t="s">
        <v>404</v>
      </c>
      <c r="B250" s="3">
        <v>45838.905811623241</v>
      </c>
      <c r="C250" t="s">
        <v>405</v>
      </c>
      <c r="D250" t="s">
        <v>90</v>
      </c>
      <c r="E250" t="s">
        <v>44</v>
      </c>
      <c r="F250" t="s">
        <v>16</v>
      </c>
      <c r="G250" t="s">
        <v>17</v>
      </c>
      <c r="H250" s="4">
        <v>54552.46</v>
      </c>
      <c r="I250">
        <v>4</v>
      </c>
      <c r="J250" s="5">
        <v>0.1</v>
      </c>
      <c r="K250">
        <v>10150.049999999999</v>
      </c>
      <c r="L250" t="s">
        <v>68</v>
      </c>
      <c r="M250" s="16">
        <f t="shared" si="3"/>
        <v>45809</v>
      </c>
    </row>
    <row r="251" spans="1:13" x14ac:dyDescent="0.3">
      <c r="A251" t="s">
        <v>406</v>
      </c>
      <c r="B251" s="3">
        <v>45839.635270541083</v>
      </c>
      <c r="C251" t="s">
        <v>186</v>
      </c>
      <c r="D251" t="s">
        <v>54</v>
      </c>
      <c r="E251" t="s">
        <v>55</v>
      </c>
      <c r="F251" t="s">
        <v>63</v>
      </c>
      <c r="G251" t="s">
        <v>17</v>
      </c>
      <c r="H251" s="4">
        <v>67953.070000000007</v>
      </c>
      <c r="I251">
        <v>3</v>
      </c>
      <c r="J251" s="5">
        <v>0.1</v>
      </c>
      <c r="K251">
        <v>13351.73</v>
      </c>
      <c r="L251" t="s">
        <v>18</v>
      </c>
      <c r="M251" s="16">
        <f t="shared" si="3"/>
        <v>45839</v>
      </c>
    </row>
    <row r="252" spans="1:13" x14ac:dyDescent="0.3">
      <c r="A252" t="s">
        <v>407</v>
      </c>
      <c r="B252" s="3">
        <v>45840.36472945891</v>
      </c>
      <c r="C252" t="s">
        <v>164</v>
      </c>
      <c r="D252" t="s">
        <v>73</v>
      </c>
      <c r="E252" t="s">
        <v>74</v>
      </c>
      <c r="F252" t="s">
        <v>87</v>
      </c>
      <c r="G252" t="s">
        <v>17</v>
      </c>
      <c r="H252" s="4">
        <v>95866.7</v>
      </c>
      <c r="I252">
        <v>2</v>
      </c>
      <c r="J252" s="5">
        <v>0.05</v>
      </c>
      <c r="K252">
        <v>15953.69</v>
      </c>
      <c r="L252" t="s">
        <v>31</v>
      </c>
      <c r="M252" s="16">
        <f t="shared" si="3"/>
        <v>45839</v>
      </c>
    </row>
    <row r="253" spans="1:13" x14ac:dyDescent="0.3">
      <c r="A253" t="s">
        <v>408</v>
      </c>
      <c r="B253" s="3">
        <v>45841.094188376737</v>
      </c>
      <c r="C253" t="s">
        <v>188</v>
      </c>
      <c r="D253" t="s">
        <v>43</v>
      </c>
      <c r="E253" t="s">
        <v>44</v>
      </c>
      <c r="F253" t="s">
        <v>56</v>
      </c>
      <c r="G253" t="s">
        <v>35</v>
      </c>
      <c r="H253" s="4">
        <v>3319.95</v>
      </c>
      <c r="I253">
        <v>4</v>
      </c>
      <c r="J253" s="5">
        <v>0</v>
      </c>
      <c r="K253">
        <v>396.71</v>
      </c>
      <c r="L253" t="s">
        <v>68</v>
      </c>
      <c r="M253" s="16">
        <f t="shared" si="3"/>
        <v>45839</v>
      </c>
    </row>
    <row r="254" spans="1:13" x14ac:dyDescent="0.3">
      <c r="A254" t="s">
        <v>409</v>
      </c>
      <c r="B254" s="3">
        <v>45841.823647294586</v>
      </c>
      <c r="C254" t="s">
        <v>224</v>
      </c>
      <c r="D254" t="s">
        <v>71</v>
      </c>
      <c r="E254" t="s">
        <v>55</v>
      </c>
      <c r="F254" t="s">
        <v>45</v>
      </c>
      <c r="G254" t="s">
        <v>46</v>
      </c>
      <c r="H254" s="4">
        <v>208.69</v>
      </c>
      <c r="I254">
        <v>1</v>
      </c>
      <c r="J254" s="5">
        <v>0.1</v>
      </c>
      <c r="K254">
        <v>43.24</v>
      </c>
      <c r="L254" t="s">
        <v>25</v>
      </c>
      <c r="M254" s="16">
        <f t="shared" si="3"/>
        <v>45839</v>
      </c>
    </row>
    <row r="255" spans="1:13" x14ac:dyDescent="0.3">
      <c r="A255" t="s">
        <v>410</v>
      </c>
      <c r="B255" s="3">
        <v>45842.553106212421</v>
      </c>
      <c r="C255" t="s">
        <v>411</v>
      </c>
      <c r="D255" t="s">
        <v>21</v>
      </c>
      <c r="E255" t="s">
        <v>22</v>
      </c>
      <c r="F255" t="s">
        <v>56</v>
      </c>
      <c r="G255" t="s">
        <v>35</v>
      </c>
      <c r="H255" s="4">
        <v>2261.84</v>
      </c>
      <c r="I255">
        <v>3</v>
      </c>
      <c r="J255" s="5">
        <v>0.1</v>
      </c>
      <c r="K255">
        <v>510.25</v>
      </c>
      <c r="L255" t="s">
        <v>25</v>
      </c>
      <c r="M255" s="16">
        <f t="shared" si="3"/>
        <v>45839</v>
      </c>
    </row>
    <row r="256" spans="1:13" x14ac:dyDescent="0.3">
      <c r="A256" t="s">
        <v>412</v>
      </c>
      <c r="B256" s="3">
        <v>45843.282565130263</v>
      </c>
      <c r="C256" t="s">
        <v>413</v>
      </c>
      <c r="D256" t="s">
        <v>21</v>
      </c>
      <c r="E256" t="s">
        <v>22</v>
      </c>
      <c r="F256" t="s">
        <v>30</v>
      </c>
      <c r="G256" t="s">
        <v>17</v>
      </c>
      <c r="H256" s="4">
        <v>76539.839999999997</v>
      </c>
      <c r="I256">
        <v>3</v>
      </c>
      <c r="J256" s="5">
        <v>0.05</v>
      </c>
      <c r="K256">
        <v>12451.75</v>
      </c>
      <c r="L256" t="s">
        <v>18</v>
      </c>
      <c r="M256" s="16">
        <f t="shared" si="3"/>
        <v>45839</v>
      </c>
    </row>
    <row r="257" spans="1:13" x14ac:dyDescent="0.3">
      <c r="A257" t="s">
        <v>414</v>
      </c>
      <c r="B257" s="3">
        <v>45844.01202404809</v>
      </c>
      <c r="C257" t="s">
        <v>224</v>
      </c>
      <c r="D257" t="s">
        <v>28</v>
      </c>
      <c r="E257" t="s">
        <v>29</v>
      </c>
      <c r="F257" t="s">
        <v>40</v>
      </c>
      <c r="G257" t="s">
        <v>17</v>
      </c>
      <c r="H257" s="4">
        <v>9878.93</v>
      </c>
      <c r="I257">
        <v>5</v>
      </c>
      <c r="J257" s="5">
        <v>0.1</v>
      </c>
      <c r="K257">
        <v>2523.35</v>
      </c>
      <c r="L257" t="s">
        <v>51</v>
      </c>
      <c r="M257" s="16">
        <f t="shared" si="3"/>
        <v>45839</v>
      </c>
    </row>
    <row r="258" spans="1:13" x14ac:dyDescent="0.3">
      <c r="A258" t="s">
        <v>415</v>
      </c>
      <c r="B258" s="3">
        <v>45844.741482965917</v>
      </c>
      <c r="C258" t="s">
        <v>139</v>
      </c>
      <c r="D258" t="s">
        <v>73</v>
      </c>
      <c r="E258" t="s">
        <v>74</v>
      </c>
      <c r="F258" t="s">
        <v>23</v>
      </c>
      <c r="G258" t="s">
        <v>24</v>
      </c>
      <c r="H258" s="4">
        <v>10939.64</v>
      </c>
      <c r="I258">
        <v>1</v>
      </c>
      <c r="J258" s="5">
        <v>0.15</v>
      </c>
      <c r="K258">
        <v>1483.2</v>
      </c>
      <c r="L258" t="s">
        <v>51</v>
      </c>
      <c r="M258" s="16">
        <f t="shared" ref="M258:M321" si="4">DATE(YEAR(B258),MONTH(B258),1)</f>
        <v>45839</v>
      </c>
    </row>
    <row r="259" spans="1:13" x14ac:dyDescent="0.3">
      <c r="A259" t="s">
        <v>416</v>
      </c>
      <c r="B259" s="3">
        <v>45845.470941883759</v>
      </c>
      <c r="C259" t="s">
        <v>417</v>
      </c>
      <c r="D259" t="s">
        <v>21</v>
      </c>
      <c r="E259" t="s">
        <v>22</v>
      </c>
      <c r="F259" t="s">
        <v>94</v>
      </c>
      <c r="G259" t="s">
        <v>46</v>
      </c>
      <c r="H259" s="4">
        <v>27353.96</v>
      </c>
      <c r="I259">
        <v>2</v>
      </c>
      <c r="J259" s="5">
        <v>0.15</v>
      </c>
      <c r="K259">
        <v>5552.73</v>
      </c>
      <c r="L259" t="s">
        <v>68</v>
      </c>
      <c r="M259" s="16">
        <f t="shared" si="4"/>
        <v>45839</v>
      </c>
    </row>
    <row r="260" spans="1:13" x14ac:dyDescent="0.3">
      <c r="A260" t="s">
        <v>418</v>
      </c>
      <c r="B260" s="3">
        <v>45846.200400801587</v>
      </c>
      <c r="C260" t="s">
        <v>335</v>
      </c>
      <c r="D260" t="s">
        <v>38</v>
      </c>
      <c r="E260" t="s">
        <v>39</v>
      </c>
      <c r="F260" t="s">
        <v>16</v>
      </c>
      <c r="G260" t="s">
        <v>17</v>
      </c>
      <c r="H260" s="4">
        <v>40534.68</v>
      </c>
      <c r="I260">
        <v>4</v>
      </c>
      <c r="J260" s="5">
        <v>0.15</v>
      </c>
      <c r="K260">
        <v>3529.04</v>
      </c>
      <c r="L260" t="s">
        <v>51</v>
      </c>
      <c r="M260" s="16">
        <f t="shared" si="4"/>
        <v>45839</v>
      </c>
    </row>
    <row r="261" spans="1:13" x14ac:dyDescent="0.3">
      <c r="A261" t="s">
        <v>419</v>
      </c>
      <c r="B261" s="3">
        <v>45846.929859719443</v>
      </c>
      <c r="C261" t="s">
        <v>243</v>
      </c>
      <c r="D261" t="s">
        <v>114</v>
      </c>
      <c r="E261" t="s">
        <v>114</v>
      </c>
      <c r="F261" t="s">
        <v>94</v>
      </c>
      <c r="G261" t="s">
        <v>46</v>
      </c>
      <c r="H261" s="4">
        <v>56884.77</v>
      </c>
      <c r="I261">
        <v>4</v>
      </c>
      <c r="J261" s="5">
        <v>0</v>
      </c>
      <c r="K261">
        <v>8027.63</v>
      </c>
      <c r="L261" t="s">
        <v>68</v>
      </c>
      <c r="M261" s="16">
        <f t="shared" si="4"/>
        <v>45839</v>
      </c>
    </row>
    <row r="262" spans="1:13" x14ac:dyDescent="0.3">
      <c r="A262" t="s">
        <v>420</v>
      </c>
      <c r="B262" s="3">
        <v>45847.65931863727</v>
      </c>
      <c r="C262" t="s">
        <v>421</v>
      </c>
      <c r="D262" t="s">
        <v>73</v>
      </c>
      <c r="E262" t="s">
        <v>74</v>
      </c>
      <c r="F262" t="s">
        <v>16</v>
      </c>
      <c r="G262" t="s">
        <v>17</v>
      </c>
      <c r="H262" s="4">
        <v>62059.07</v>
      </c>
      <c r="I262">
        <v>5</v>
      </c>
      <c r="J262" s="5">
        <v>0.15</v>
      </c>
      <c r="K262">
        <v>7660.68</v>
      </c>
      <c r="L262" t="s">
        <v>68</v>
      </c>
      <c r="M262" s="16">
        <f t="shared" si="4"/>
        <v>45839</v>
      </c>
    </row>
    <row r="263" spans="1:13" x14ac:dyDescent="0.3">
      <c r="A263" t="s">
        <v>422</v>
      </c>
      <c r="B263" s="3">
        <v>45848.388777555097</v>
      </c>
      <c r="C263" t="s">
        <v>103</v>
      </c>
      <c r="D263" t="s">
        <v>28</v>
      </c>
      <c r="E263" t="s">
        <v>29</v>
      </c>
      <c r="F263" t="s">
        <v>23</v>
      </c>
      <c r="G263" t="s">
        <v>24</v>
      </c>
      <c r="H263" s="4">
        <v>51523.28</v>
      </c>
      <c r="I263">
        <v>5</v>
      </c>
      <c r="J263" s="5">
        <v>0</v>
      </c>
      <c r="K263">
        <v>5990.3</v>
      </c>
      <c r="L263" t="s">
        <v>25</v>
      </c>
      <c r="M263" s="16">
        <f t="shared" si="4"/>
        <v>45839</v>
      </c>
    </row>
    <row r="264" spans="1:13" x14ac:dyDescent="0.3">
      <c r="A264" t="s">
        <v>423</v>
      </c>
      <c r="B264" s="3">
        <v>45849.118236472939</v>
      </c>
      <c r="C264" t="s">
        <v>424</v>
      </c>
      <c r="D264" t="s">
        <v>71</v>
      </c>
      <c r="E264" t="s">
        <v>55</v>
      </c>
      <c r="F264" t="s">
        <v>23</v>
      </c>
      <c r="G264" t="s">
        <v>24</v>
      </c>
      <c r="H264" s="4">
        <v>55295.74</v>
      </c>
      <c r="I264">
        <v>5</v>
      </c>
      <c r="J264" s="5">
        <v>0.1</v>
      </c>
      <c r="K264">
        <v>10624.08</v>
      </c>
      <c r="L264" t="s">
        <v>51</v>
      </c>
      <c r="M264" s="16">
        <f t="shared" si="4"/>
        <v>45839</v>
      </c>
    </row>
    <row r="265" spans="1:13" x14ac:dyDescent="0.3">
      <c r="A265" t="s">
        <v>425</v>
      </c>
      <c r="B265" s="3">
        <v>45849.847695390767</v>
      </c>
      <c r="C265" t="s">
        <v>158</v>
      </c>
      <c r="D265" t="s">
        <v>71</v>
      </c>
      <c r="E265" t="s">
        <v>55</v>
      </c>
      <c r="F265" t="s">
        <v>63</v>
      </c>
      <c r="G265" t="s">
        <v>17</v>
      </c>
      <c r="H265" s="4">
        <v>74973.279999999999</v>
      </c>
      <c r="I265">
        <v>4</v>
      </c>
      <c r="J265" s="5">
        <v>0.1</v>
      </c>
      <c r="K265">
        <v>8232.06</v>
      </c>
      <c r="L265" t="s">
        <v>68</v>
      </c>
      <c r="M265" s="16">
        <f t="shared" si="4"/>
        <v>45839</v>
      </c>
    </row>
    <row r="266" spans="1:13" x14ac:dyDescent="0.3">
      <c r="A266" t="s">
        <v>426</v>
      </c>
      <c r="B266" s="3">
        <v>45850.577154308608</v>
      </c>
      <c r="C266" t="s">
        <v>427</v>
      </c>
      <c r="D266" t="s">
        <v>54</v>
      </c>
      <c r="E266" t="s">
        <v>55</v>
      </c>
      <c r="F266" t="s">
        <v>40</v>
      </c>
      <c r="G266" t="s">
        <v>17</v>
      </c>
      <c r="H266" s="4">
        <v>10619.05</v>
      </c>
      <c r="I266">
        <v>5</v>
      </c>
      <c r="J266" s="5">
        <v>0.05</v>
      </c>
      <c r="K266">
        <v>1771.3</v>
      </c>
      <c r="L266" t="s">
        <v>31</v>
      </c>
      <c r="M266" s="16">
        <f t="shared" si="4"/>
        <v>45839</v>
      </c>
    </row>
    <row r="267" spans="1:13" x14ac:dyDescent="0.3">
      <c r="A267" t="s">
        <v>428</v>
      </c>
      <c r="B267" s="3">
        <v>45851.30661322645</v>
      </c>
      <c r="C267" t="s">
        <v>179</v>
      </c>
      <c r="D267" t="s">
        <v>21</v>
      </c>
      <c r="E267" t="s">
        <v>22</v>
      </c>
      <c r="F267" t="s">
        <v>63</v>
      </c>
      <c r="G267" t="s">
        <v>17</v>
      </c>
      <c r="H267" s="4">
        <v>64150.6</v>
      </c>
      <c r="I267">
        <v>3</v>
      </c>
      <c r="J267" s="5">
        <v>0.1</v>
      </c>
      <c r="K267">
        <v>8973.94</v>
      </c>
      <c r="L267" t="s">
        <v>25</v>
      </c>
      <c r="M267" s="16">
        <f t="shared" si="4"/>
        <v>45839</v>
      </c>
    </row>
    <row r="268" spans="1:13" x14ac:dyDescent="0.3">
      <c r="A268" t="s">
        <v>429</v>
      </c>
      <c r="B268" s="3">
        <v>45852.036072144278</v>
      </c>
      <c r="C268" t="s">
        <v>395</v>
      </c>
      <c r="D268" t="s">
        <v>54</v>
      </c>
      <c r="E268" t="s">
        <v>55</v>
      </c>
      <c r="F268" t="s">
        <v>34</v>
      </c>
      <c r="G268" t="s">
        <v>35</v>
      </c>
      <c r="H268" s="4">
        <v>6254.17</v>
      </c>
      <c r="I268">
        <v>4</v>
      </c>
      <c r="J268" s="5">
        <v>0.1</v>
      </c>
      <c r="K268">
        <v>1235.54</v>
      </c>
      <c r="L268" t="s">
        <v>68</v>
      </c>
      <c r="M268" s="16">
        <f t="shared" si="4"/>
        <v>45839</v>
      </c>
    </row>
    <row r="269" spans="1:13" x14ac:dyDescent="0.3">
      <c r="A269" t="s">
        <v>430</v>
      </c>
      <c r="B269" s="3">
        <v>45852.765531062119</v>
      </c>
      <c r="C269" t="s">
        <v>177</v>
      </c>
      <c r="D269" t="s">
        <v>73</v>
      </c>
      <c r="E269" t="s">
        <v>74</v>
      </c>
      <c r="F269" t="s">
        <v>30</v>
      </c>
      <c r="G269" t="s">
        <v>17</v>
      </c>
      <c r="H269" s="4">
        <v>77207.31</v>
      </c>
      <c r="I269">
        <v>3</v>
      </c>
      <c r="J269" s="5">
        <v>0</v>
      </c>
      <c r="K269">
        <v>19019.2</v>
      </c>
      <c r="L269" t="s">
        <v>18</v>
      </c>
      <c r="M269" s="16">
        <f t="shared" si="4"/>
        <v>45839</v>
      </c>
    </row>
    <row r="270" spans="1:13" x14ac:dyDescent="0.3">
      <c r="A270" t="s">
        <v>431</v>
      </c>
      <c r="B270" s="3">
        <v>45853.494989979947</v>
      </c>
      <c r="C270" t="s">
        <v>432</v>
      </c>
      <c r="D270" t="s">
        <v>71</v>
      </c>
      <c r="E270" t="s">
        <v>55</v>
      </c>
      <c r="F270" t="s">
        <v>106</v>
      </c>
      <c r="G270" t="s">
        <v>35</v>
      </c>
      <c r="H270" s="4">
        <v>4759.5600000000004</v>
      </c>
      <c r="I270">
        <v>3</v>
      </c>
      <c r="J270" s="5">
        <v>0.05</v>
      </c>
      <c r="K270">
        <v>1211.53</v>
      </c>
      <c r="L270" t="s">
        <v>31</v>
      </c>
      <c r="M270" s="16">
        <f t="shared" si="4"/>
        <v>45839</v>
      </c>
    </row>
    <row r="271" spans="1:13" x14ac:dyDescent="0.3">
      <c r="A271" t="s">
        <v>433</v>
      </c>
      <c r="B271" s="3">
        <v>45854.224448897789</v>
      </c>
      <c r="C271" t="s">
        <v>156</v>
      </c>
      <c r="D271" t="s">
        <v>114</v>
      </c>
      <c r="E271" t="s">
        <v>114</v>
      </c>
      <c r="F271" t="s">
        <v>45</v>
      </c>
      <c r="G271" t="s">
        <v>46</v>
      </c>
      <c r="H271" s="4">
        <v>1194.53</v>
      </c>
      <c r="I271">
        <v>5</v>
      </c>
      <c r="J271" s="5">
        <v>0.1</v>
      </c>
      <c r="K271">
        <v>107.47</v>
      </c>
      <c r="L271" t="s">
        <v>18</v>
      </c>
      <c r="M271" s="16">
        <f t="shared" si="4"/>
        <v>45839</v>
      </c>
    </row>
    <row r="272" spans="1:13" x14ac:dyDescent="0.3">
      <c r="A272" t="s">
        <v>434</v>
      </c>
      <c r="B272" s="3">
        <v>45854.953907815623</v>
      </c>
      <c r="C272" t="s">
        <v>27</v>
      </c>
      <c r="D272" t="s">
        <v>90</v>
      </c>
      <c r="E272" t="s">
        <v>44</v>
      </c>
      <c r="F272" t="s">
        <v>23</v>
      </c>
      <c r="G272" t="s">
        <v>24</v>
      </c>
      <c r="H272" s="4">
        <v>10225.31</v>
      </c>
      <c r="I272">
        <v>1</v>
      </c>
      <c r="J272" s="5">
        <v>0</v>
      </c>
      <c r="K272">
        <v>1278.6199999999999</v>
      </c>
      <c r="L272" t="s">
        <v>25</v>
      </c>
      <c r="M272" s="16">
        <f t="shared" si="4"/>
        <v>45839</v>
      </c>
    </row>
    <row r="273" spans="1:13" x14ac:dyDescent="0.3">
      <c r="A273" t="s">
        <v>435</v>
      </c>
      <c r="B273" s="3">
        <v>45855.683366733458</v>
      </c>
      <c r="C273" t="s">
        <v>89</v>
      </c>
      <c r="D273" t="s">
        <v>49</v>
      </c>
      <c r="E273" t="s">
        <v>50</v>
      </c>
      <c r="F273" t="s">
        <v>94</v>
      </c>
      <c r="G273" t="s">
        <v>46</v>
      </c>
      <c r="H273" s="4">
        <v>48679.19</v>
      </c>
      <c r="I273">
        <v>4</v>
      </c>
      <c r="J273" s="5">
        <v>0.05</v>
      </c>
      <c r="K273">
        <v>4328.5</v>
      </c>
      <c r="L273" t="s">
        <v>18</v>
      </c>
      <c r="M273" s="16">
        <f t="shared" si="4"/>
        <v>45839</v>
      </c>
    </row>
    <row r="274" spans="1:13" x14ac:dyDescent="0.3">
      <c r="A274" t="s">
        <v>436</v>
      </c>
      <c r="B274" s="3">
        <v>45856.412825651299</v>
      </c>
      <c r="C274" t="s">
        <v>437</v>
      </c>
      <c r="D274" t="s">
        <v>14</v>
      </c>
      <c r="E274" t="s">
        <v>15</v>
      </c>
      <c r="F274" t="s">
        <v>63</v>
      </c>
      <c r="G274" t="s">
        <v>17</v>
      </c>
      <c r="H274" s="4">
        <v>34841.279999999999</v>
      </c>
      <c r="I274">
        <v>2</v>
      </c>
      <c r="J274" s="5">
        <v>0.15</v>
      </c>
      <c r="K274">
        <v>5921.2</v>
      </c>
      <c r="L274" t="s">
        <v>68</v>
      </c>
      <c r="M274" s="16">
        <f t="shared" si="4"/>
        <v>45839</v>
      </c>
    </row>
    <row r="275" spans="1:13" x14ac:dyDescent="0.3">
      <c r="A275" t="s">
        <v>438</v>
      </c>
      <c r="B275" s="3">
        <v>45857.142284569127</v>
      </c>
      <c r="C275" t="s">
        <v>282</v>
      </c>
      <c r="D275" t="s">
        <v>54</v>
      </c>
      <c r="E275" t="s">
        <v>55</v>
      </c>
      <c r="F275" t="s">
        <v>23</v>
      </c>
      <c r="G275" t="s">
        <v>24</v>
      </c>
      <c r="H275" s="4">
        <v>25021.32</v>
      </c>
      <c r="I275">
        <v>3</v>
      </c>
      <c r="J275" s="5">
        <v>0.2</v>
      </c>
      <c r="K275">
        <v>2698.53</v>
      </c>
      <c r="L275" t="s">
        <v>31</v>
      </c>
      <c r="M275" s="16">
        <f t="shared" si="4"/>
        <v>45839</v>
      </c>
    </row>
    <row r="276" spans="1:13" x14ac:dyDescent="0.3">
      <c r="A276" t="s">
        <v>439</v>
      </c>
      <c r="B276" s="3">
        <v>45857.871743486969</v>
      </c>
      <c r="C276" t="s">
        <v>202</v>
      </c>
      <c r="D276" t="s">
        <v>21</v>
      </c>
      <c r="E276" t="s">
        <v>22</v>
      </c>
      <c r="F276" t="s">
        <v>75</v>
      </c>
      <c r="G276" t="s">
        <v>24</v>
      </c>
      <c r="H276" s="4">
        <v>17329.7</v>
      </c>
      <c r="I276">
        <v>2</v>
      </c>
      <c r="J276" s="5">
        <v>0.1</v>
      </c>
      <c r="K276">
        <v>1829.98</v>
      </c>
      <c r="L276" t="s">
        <v>51</v>
      </c>
      <c r="M276" s="16">
        <f t="shared" si="4"/>
        <v>45839</v>
      </c>
    </row>
    <row r="277" spans="1:13" x14ac:dyDescent="0.3">
      <c r="A277" t="s">
        <v>440</v>
      </c>
      <c r="B277" s="3">
        <v>45858.601202404803</v>
      </c>
      <c r="C277" t="s">
        <v>216</v>
      </c>
      <c r="D277" t="s">
        <v>73</v>
      </c>
      <c r="E277" t="s">
        <v>74</v>
      </c>
      <c r="F277" t="s">
        <v>63</v>
      </c>
      <c r="G277" t="s">
        <v>17</v>
      </c>
      <c r="H277" s="4">
        <v>17570.86</v>
      </c>
      <c r="I277">
        <v>1</v>
      </c>
      <c r="J277" s="5">
        <v>0.2</v>
      </c>
      <c r="K277">
        <v>1915.1</v>
      </c>
      <c r="L277" t="s">
        <v>68</v>
      </c>
      <c r="M277" s="16">
        <f t="shared" si="4"/>
        <v>45839</v>
      </c>
    </row>
    <row r="278" spans="1:13" x14ac:dyDescent="0.3">
      <c r="A278" t="s">
        <v>441</v>
      </c>
      <c r="B278" s="3">
        <v>45859.330661322638</v>
      </c>
      <c r="C278" t="s">
        <v>168</v>
      </c>
      <c r="D278" t="s">
        <v>49</v>
      </c>
      <c r="E278" t="s">
        <v>50</v>
      </c>
      <c r="F278" t="s">
        <v>87</v>
      </c>
      <c r="G278" t="s">
        <v>17</v>
      </c>
      <c r="H278" s="4">
        <v>124424.47</v>
      </c>
      <c r="I278">
        <v>3</v>
      </c>
      <c r="J278" s="5">
        <v>0.2</v>
      </c>
      <c r="K278">
        <v>34026.51</v>
      </c>
      <c r="L278" t="s">
        <v>51</v>
      </c>
      <c r="M278" s="16">
        <f t="shared" si="4"/>
        <v>45839</v>
      </c>
    </row>
    <row r="279" spans="1:13" x14ac:dyDescent="0.3">
      <c r="A279" t="s">
        <v>442</v>
      </c>
      <c r="B279" s="3">
        <v>45860.060120240472</v>
      </c>
      <c r="C279" t="s">
        <v>424</v>
      </c>
      <c r="D279" t="s">
        <v>114</v>
      </c>
      <c r="E279" t="s">
        <v>114</v>
      </c>
      <c r="F279" t="s">
        <v>16</v>
      </c>
      <c r="G279" t="s">
        <v>17</v>
      </c>
      <c r="H279" s="4">
        <v>22091.63</v>
      </c>
      <c r="I279">
        <v>2</v>
      </c>
      <c r="J279" s="5">
        <v>0.1</v>
      </c>
      <c r="K279">
        <v>4175.78</v>
      </c>
      <c r="L279" t="s">
        <v>25</v>
      </c>
      <c r="M279" s="16">
        <f t="shared" si="4"/>
        <v>45839</v>
      </c>
    </row>
    <row r="280" spans="1:13" x14ac:dyDescent="0.3">
      <c r="A280" t="s">
        <v>443</v>
      </c>
      <c r="B280" s="3">
        <v>45860.789579158307</v>
      </c>
      <c r="C280" t="s">
        <v>269</v>
      </c>
      <c r="D280" t="s">
        <v>73</v>
      </c>
      <c r="E280" t="s">
        <v>74</v>
      </c>
      <c r="F280" t="s">
        <v>34</v>
      </c>
      <c r="G280" t="s">
        <v>35</v>
      </c>
      <c r="H280" s="4">
        <v>1761.77</v>
      </c>
      <c r="I280">
        <v>1</v>
      </c>
      <c r="J280" s="5">
        <v>0.1</v>
      </c>
      <c r="K280">
        <v>356.9</v>
      </c>
      <c r="L280" t="s">
        <v>31</v>
      </c>
      <c r="M280" s="16">
        <f t="shared" si="4"/>
        <v>45839</v>
      </c>
    </row>
    <row r="281" spans="1:13" x14ac:dyDescent="0.3">
      <c r="A281" t="s">
        <v>444</v>
      </c>
      <c r="B281" s="3">
        <v>45861.519038076149</v>
      </c>
      <c r="C281" t="s">
        <v>144</v>
      </c>
      <c r="D281" t="s">
        <v>73</v>
      </c>
      <c r="E281" t="s">
        <v>74</v>
      </c>
      <c r="F281" t="s">
        <v>106</v>
      </c>
      <c r="G281" t="s">
        <v>35</v>
      </c>
      <c r="H281" s="4">
        <v>8672.8700000000008</v>
      </c>
      <c r="I281">
        <v>5</v>
      </c>
      <c r="J281" s="5">
        <v>0.15</v>
      </c>
      <c r="K281">
        <v>1854.3</v>
      </c>
      <c r="L281" t="s">
        <v>68</v>
      </c>
      <c r="M281" s="16">
        <f t="shared" si="4"/>
        <v>45839</v>
      </c>
    </row>
    <row r="282" spans="1:13" x14ac:dyDescent="0.3">
      <c r="A282" t="s">
        <v>445</v>
      </c>
      <c r="B282" s="3">
        <v>45862.248496993983</v>
      </c>
      <c r="C282" t="s">
        <v>13</v>
      </c>
      <c r="D282" t="s">
        <v>14</v>
      </c>
      <c r="E282" t="s">
        <v>15</v>
      </c>
      <c r="F282" t="s">
        <v>56</v>
      </c>
      <c r="G282" t="s">
        <v>35</v>
      </c>
      <c r="H282" s="4">
        <v>2814.52</v>
      </c>
      <c r="I282">
        <v>4</v>
      </c>
      <c r="J282" s="5">
        <v>0.1</v>
      </c>
      <c r="K282">
        <v>679.09</v>
      </c>
      <c r="L282" t="s">
        <v>18</v>
      </c>
      <c r="M282" s="16">
        <f t="shared" si="4"/>
        <v>45839</v>
      </c>
    </row>
    <row r="283" spans="1:13" x14ac:dyDescent="0.3">
      <c r="A283" t="s">
        <v>446</v>
      </c>
      <c r="B283" s="3">
        <v>45862.977955911818</v>
      </c>
      <c r="C283" t="s">
        <v>198</v>
      </c>
      <c r="D283" t="s">
        <v>90</v>
      </c>
      <c r="E283" t="s">
        <v>44</v>
      </c>
      <c r="F283" t="s">
        <v>75</v>
      </c>
      <c r="G283" t="s">
        <v>24</v>
      </c>
      <c r="H283" s="4">
        <v>38449.86</v>
      </c>
      <c r="I283">
        <v>5</v>
      </c>
      <c r="J283" s="5">
        <v>0.05</v>
      </c>
      <c r="K283">
        <v>8895.39</v>
      </c>
      <c r="L283" t="s">
        <v>68</v>
      </c>
      <c r="M283" s="16">
        <f t="shared" si="4"/>
        <v>45839</v>
      </c>
    </row>
    <row r="284" spans="1:13" x14ac:dyDescent="0.3">
      <c r="A284" t="s">
        <v>447</v>
      </c>
      <c r="B284" s="3">
        <v>45863.707414829652</v>
      </c>
      <c r="C284" t="s">
        <v>164</v>
      </c>
      <c r="D284" t="s">
        <v>28</v>
      </c>
      <c r="E284" t="s">
        <v>29</v>
      </c>
      <c r="F284" t="s">
        <v>16</v>
      </c>
      <c r="G284" t="s">
        <v>17</v>
      </c>
      <c r="H284" s="4">
        <v>41513.83</v>
      </c>
      <c r="I284">
        <v>4</v>
      </c>
      <c r="J284" s="5">
        <v>0.2</v>
      </c>
      <c r="K284">
        <v>7972.17</v>
      </c>
      <c r="L284" t="s">
        <v>31</v>
      </c>
      <c r="M284" s="16">
        <f t="shared" si="4"/>
        <v>45839</v>
      </c>
    </row>
    <row r="285" spans="1:13" x14ac:dyDescent="0.3">
      <c r="A285" t="s">
        <v>448</v>
      </c>
      <c r="B285" s="3">
        <v>45864.436873747487</v>
      </c>
      <c r="C285" t="s">
        <v>89</v>
      </c>
      <c r="D285" t="s">
        <v>43</v>
      </c>
      <c r="E285" t="s">
        <v>44</v>
      </c>
      <c r="F285" t="s">
        <v>94</v>
      </c>
      <c r="G285" t="s">
        <v>46</v>
      </c>
      <c r="H285" s="4">
        <v>45472.02</v>
      </c>
      <c r="I285">
        <v>3</v>
      </c>
      <c r="J285" s="5">
        <v>0.1</v>
      </c>
      <c r="K285">
        <v>8165.07</v>
      </c>
      <c r="L285" t="s">
        <v>25</v>
      </c>
      <c r="M285" s="16">
        <f t="shared" si="4"/>
        <v>45839</v>
      </c>
    </row>
    <row r="286" spans="1:13" x14ac:dyDescent="0.3">
      <c r="A286" t="s">
        <v>449</v>
      </c>
      <c r="B286" s="3">
        <v>45865.166332665322</v>
      </c>
      <c r="C286" t="s">
        <v>158</v>
      </c>
      <c r="D286" t="s">
        <v>14</v>
      </c>
      <c r="E286" t="s">
        <v>15</v>
      </c>
      <c r="F286" t="s">
        <v>94</v>
      </c>
      <c r="G286" t="s">
        <v>46</v>
      </c>
      <c r="H286" s="4">
        <v>36877.82</v>
      </c>
      <c r="I286">
        <v>3</v>
      </c>
      <c r="J286" s="5">
        <v>0.15</v>
      </c>
      <c r="K286">
        <v>10063.780000000001</v>
      </c>
      <c r="L286" t="s">
        <v>25</v>
      </c>
      <c r="M286" s="16">
        <f t="shared" si="4"/>
        <v>45839</v>
      </c>
    </row>
    <row r="287" spans="1:13" x14ac:dyDescent="0.3">
      <c r="A287" t="s">
        <v>450</v>
      </c>
      <c r="B287" s="3">
        <v>45865.895791583163</v>
      </c>
      <c r="C287" t="s">
        <v>424</v>
      </c>
      <c r="D287" t="s">
        <v>61</v>
      </c>
      <c r="E287" t="s">
        <v>62</v>
      </c>
      <c r="F287" t="s">
        <v>94</v>
      </c>
      <c r="G287" t="s">
        <v>46</v>
      </c>
      <c r="H287" s="4">
        <v>53177.15</v>
      </c>
      <c r="I287">
        <v>4</v>
      </c>
      <c r="J287" s="5">
        <v>0.05</v>
      </c>
      <c r="K287">
        <v>11089.29</v>
      </c>
      <c r="L287" t="s">
        <v>51</v>
      </c>
      <c r="M287" s="16">
        <f t="shared" si="4"/>
        <v>45839</v>
      </c>
    </row>
    <row r="288" spans="1:13" x14ac:dyDescent="0.3">
      <c r="A288" t="s">
        <v>451</v>
      </c>
      <c r="B288" s="3">
        <v>45866.625250500998</v>
      </c>
      <c r="C288" t="s">
        <v>265</v>
      </c>
      <c r="D288" t="s">
        <v>61</v>
      </c>
      <c r="E288" t="s">
        <v>62</v>
      </c>
      <c r="F288" t="s">
        <v>16</v>
      </c>
      <c r="G288" t="s">
        <v>17</v>
      </c>
      <c r="H288" s="4">
        <v>45350.44</v>
      </c>
      <c r="I288">
        <v>4</v>
      </c>
      <c r="J288" s="5">
        <v>0.1</v>
      </c>
      <c r="K288">
        <v>6921.39</v>
      </c>
      <c r="L288" t="s">
        <v>18</v>
      </c>
      <c r="M288" s="16">
        <f t="shared" si="4"/>
        <v>45839</v>
      </c>
    </row>
    <row r="289" spans="1:13" x14ac:dyDescent="0.3">
      <c r="A289" t="s">
        <v>452</v>
      </c>
      <c r="B289" s="3">
        <v>45867.354709418832</v>
      </c>
      <c r="C289" t="s">
        <v>293</v>
      </c>
      <c r="D289" t="s">
        <v>49</v>
      </c>
      <c r="E289" t="s">
        <v>50</v>
      </c>
      <c r="F289" t="s">
        <v>56</v>
      </c>
      <c r="G289" t="s">
        <v>35</v>
      </c>
      <c r="H289" s="4">
        <v>926.49</v>
      </c>
      <c r="I289">
        <v>1</v>
      </c>
      <c r="J289" s="5">
        <v>0</v>
      </c>
      <c r="K289">
        <v>141.51</v>
      </c>
      <c r="L289" t="s">
        <v>25</v>
      </c>
      <c r="M289" s="16">
        <f t="shared" si="4"/>
        <v>45839</v>
      </c>
    </row>
    <row r="290" spans="1:13" x14ac:dyDescent="0.3">
      <c r="A290" t="s">
        <v>453</v>
      </c>
      <c r="B290" s="3">
        <v>45868.084168336667</v>
      </c>
      <c r="C290" t="s">
        <v>67</v>
      </c>
      <c r="D290" t="s">
        <v>28</v>
      </c>
      <c r="E290" t="s">
        <v>29</v>
      </c>
      <c r="F290" t="s">
        <v>56</v>
      </c>
      <c r="G290" t="s">
        <v>35</v>
      </c>
      <c r="H290" s="4">
        <v>2558.3000000000002</v>
      </c>
      <c r="I290">
        <v>3</v>
      </c>
      <c r="J290" s="5">
        <v>0.15</v>
      </c>
      <c r="K290">
        <v>463.16</v>
      </c>
      <c r="L290" t="s">
        <v>68</v>
      </c>
      <c r="M290" s="16">
        <f t="shared" si="4"/>
        <v>45839</v>
      </c>
    </row>
    <row r="291" spans="1:13" x14ac:dyDescent="0.3">
      <c r="A291" t="s">
        <v>454</v>
      </c>
      <c r="B291" s="3">
        <v>45868.813627254502</v>
      </c>
      <c r="C291" t="s">
        <v>65</v>
      </c>
      <c r="D291" t="s">
        <v>114</v>
      </c>
      <c r="E291" t="s">
        <v>114</v>
      </c>
      <c r="F291" t="s">
        <v>30</v>
      </c>
      <c r="G291" t="s">
        <v>17</v>
      </c>
      <c r="H291" s="4">
        <v>110315.85</v>
      </c>
      <c r="I291">
        <v>4</v>
      </c>
      <c r="J291" s="5">
        <v>0.2</v>
      </c>
      <c r="K291">
        <v>23301.66</v>
      </c>
      <c r="L291" t="s">
        <v>31</v>
      </c>
      <c r="M291" s="16">
        <f t="shared" si="4"/>
        <v>45839</v>
      </c>
    </row>
    <row r="292" spans="1:13" x14ac:dyDescent="0.3">
      <c r="A292" t="s">
        <v>455</v>
      </c>
      <c r="B292" s="3">
        <v>45869.543086172343</v>
      </c>
      <c r="C292" t="s">
        <v>456</v>
      </c>
      <c r="D292" t="s">
        <v>71</v>
      </c>
      <c r="E292" t="s">
        <v>55</v>
      </c>
      <c r="F292" t="s">
        <v>87</v>
      </c>
      <c r="G292" t="s">
        <v>17</v>
      </c>
      <c r="H292" s="4">
        <v>199305.74</v>
      </c>
      <c r="I292">
        <v>4</v>
      </c>
      <c r="J292" s="5">
        <v>0.15</v>
      </c>
      <c r="K292">
        <v>19109.7</v>
      </c>
      <c r="L292" t="s">
        <v>68</v>
      </c>
      <c r="M292" s="16">
        <f t="shared" si="4"/>
        <v>45839</v>
      </c>
    </row>
    <row r="293" spans="1:13" x14ac:dyDescent="0.3">
      <c r="A293" t="s">
        <v>457</v>
      </c>
      <c r="B293" s="3">
        <v>45870.272545090171</v>
      </c>
      <c r="C293" t="s">
        <v>219</v>
      </c>
      <c r="D293" t="s">
        <v>61</v>
      </c>
      <c r="E293" t="s">
        <v>62</v>
      </c>
      <c r="F293" t="s">
        <v>94</v>
      </c>
      <c r="G293" t="s">
        <v>46</v>
      </c>
      <c r="H293" s="4">
        <v>67527.740000000005</v>
      </c>
      <c r="I293">
        <v>4</v>
      </c>
      <c r="J293" s="5">
        <v>0</v>
      </c>
      <c r="K293">
        <v>15660.8</v>
      </c>
      <c r="L293" t="s">
        <v>25</v>
      </c>
      <c r="M293" s="16">
        <f t="shared" si="4"/>
        <v>45870</v>
      </c>
    </row>
    <row r="294" spans="1:13" x14ac:dyDescent="0.3">
      <c r="A294" t="s">
        <v>458</v>
      </c>
      <c r="B294" s="3">
        <v>45871.002004008013</v>
      </c>
      <c r="C294" t="s">
        <v>421</v>
      </c>
      <c r="D294" t="s">
        <v>61</v>
      </c>
      <c r="E294" t="s">
        <v>62</v>
      </c>
      <c r="F294" t="s">
        <v>94</v>
      </c>
      <c r="G294" t="s">
        <v>46</v>
      </c>
      <c r="H294" s="4">
        <v>59051.4</v>
      </c>
      <c r="I294">
        <v>5</v>
      </c>
      <c r="J294" s="5">
        <v>0.15</v>
      </c>
      <c r="K294">
        <v>15115.06</v>
      </c>
      <c r="L294" t="s">
        <v>25</v>
      </c>
      <c r="M294" s="16">
        <f t="shared" si="4"/>
        <v>45870</v>
      </c>
    </row>
    <row r="295" spans="1:13" x14ac:dyDescent="0.3">
      <c r="A295" t="s">
        <v>459</v>
      </c>
      <c r="B295" s="3">
        <v>45871.731462925847</v>
      </c>
      <c r="C295" t="s">
        <v>405</v>
      </c>
      <c r="D295" t="s">
        <v>49</v>
      </c>
      <c r="E295" t="s">
        <v>50</v>
      </c>
      <c r="F295" t="s">
        <v>45</v>
      </c>
      <c r="G295" t="s">
        <v>46</v>
      </c>
      <c r="H295" s="4">
        <v>230.49</v>
      </c>
      <c r="I295">
        <v>1</v>
      </c>
      <c r="J295" s="5">
        <v>0</v>
      </c>
      <c r="K295">
        <v>34.479999999999997</v>
      </c>
      <c r="L295" t="s">
        <v>18</v>
      </c>
      <c r="M295" s="16">
        <f t="shared" si="4"/>
        <v>45870</v>
      </c>
    </row>
    <row r="296" spans="1:13" x14ac:dyDescent="0.3">
      <c r="A296" t="s">
        <v>460</v>
      </c>
      <c r="B296" s="3">
        <v>45872.460921843682</v>
      </c>
      <c r="C296" t="s">
        <v>70</v>
      </c>
      <c r="D296" t="s">
        <v>38</v>
      </c>
      <c r="E296" t="s">
        <v>39</v>
      </c>
      <c r="F296" t="s">
        <v>75</v>
      </c>
      <c r="G296" t="s">
        <v>24</v>
      </c>
      <c r="H296" s="4">
        <v>9425.81</v>
      </c>
      <c r="I296">
        <v>1</v>
      </c>
      <c r="J296" s="5">
        <v>0.05</v>
      </c>
      <c r="K296">
        <v>2599.84</v>
      </c>
      <c r="L296" t="s">
        <v>25</v>
      </c>
      <c r="M296" s="16">
        <f t="shared" si="4"/>
        <v>45870</v>
      </c>
    </row>
    <row r="297" spans="1:13" x14ac:dyDescent="0.3">
      <c r="A297" t="s">
        <v>461</v>
      </c>
      <c r="B297" s="3">
        <v>45873.190380761524</v>
      </c>
      <c r="C297" t="s">
        <v>395</v>
      </c>
      <c r="D297" t="s">
        <v>43</v>
      </c>
      <c r="E297" t="s">
        <v>44</v>
      </c>
      <c r="F297" t="s">
        <v>30</v>
      </c>
      <c r="G297" t="s">
        <v>17</v>
      </c>
      <c r="H297" s="4">
        <v>95030.83</v>
      </c>
      <c r="I297">
        <v>3</v>
      </c>
      <c r="J297" s="5">
        <v>0</v>
      </c>
      <c r="K297">
        <v>10926.29</v>
      </c>
      <c r="L297" t="s">
        <v>25</v>
      </c>
      <c r="M297" s="16">
        <f t="shared" si="4"/>
        <v>45870</v>
      </c>
    </row>
    <row r="298" spans="1:13" x14ac:dyDescent="0.3">
      <c r="A298" t="s">
        <v>462</v>
      </c>
      <c r="B298" s="3">
        <v>45873.919839679351</v>
      </c>
      <c r="C298" t="s">
        <v>456</v>
      </c>
      <c r="D298" t="s">
        <v>90</v>
      </c>
      <c r="E298" t="s">
        <v>44</v>
      </c>
      <c r="F298" t="s">
        <v>23</v>
      </c>
      <c r="G298" t="s">
        <v>24</v>
      </c>
      <c r="H298" s="4">
        <v>34287.15</v>
      </c>
      <c r="I298">
        <v>3</v>
      </c>
      <c r="J298" s="5">
        <v>0.1</v>
      </c>
      <c r="K298">
        <v>4836.62</v>
      </c>
      <c r="L298" t="s">
        <v>31</v>
      </c>
      <c r="M298" s="16">
        <f t="shared" si="4"/>
        <v>45870</v>
      </c>
    </row>
    <row r="299" spans="1:13" x14ac:dyDescent="0.3">
      <c r="A299" t="s">
        <v>463</v>
      </c>
      <c r="B299" s="3">
        <v>45874.649298597193</v>
      </c>
      <c r="C299" t="s">
        <v>329</v>
      </c>
      <c r="D299" t="s">
        <v>114</v>
      </c>
      <c r="E299" t="s">
        <v>114</v>
      </c>
      <c r="F299" t="s">
        <v>106</v>
      </c>
      <c r="G299" t="s">
        <v>35</v>
      </c>
      <c r="H299" s="4">
        <v>6924.73</v>
      </c>
      <c r="I299">
        <v>4</v>
      </c>
      <c r="J299" s="5">
        <v>0.15</v>
      </c>
      <c r="K299">
        <v>1614.94</v>
      </c>
      <c r="L299" t="s">
        <v>18</v>
      </c>
      <c r="M299" s="16">
        <f t="shared" si="4"/>
        <v>45870</v>
      </c>
    </row>
    <row r="300" spans="1:13" x14ac:dyDescent="0.3">
      <c r="A300" t="s">
        <v>464</v>
      </c>
      <c r="B300" s="3">
        <v>45875.37875751502</v>
      </c>
      <c r="C300" t="s">
        <v>79</v>
      </c>
      <c r="D300" t="s">
        <v>90</v>
      </c>
      <c r="E300" t="s">
        <v>44</v>
      </c>
      <c r="F300" t="s">
        <v>56</v>
      </c>
      <c r="G300" t="s">
        <v>35</v>
      </c>
      <c r="H300" s="4">
        <v>2295.15</v>
      </c>
      <c r="I300">
        <v>3</v>
      </c>
      <c r="J300" s="5">
        <v>0</v>
      </c>
      <c r="K300">
        <v>362.52</v>
      </c>
      <c r="L300" t="s">
        <v>68</v>
      </c>
      <c r="M300" s="16">
        <f t="shared" si="4"/>
        <v>45870</v>
      </c>
    </row>
    <row r="301" spans="1:13" x14ac:dyDescent="0.3">
      <c r="A301" t="s">
        <v>465</v>
      </c>
      <c r="B301" s="3">
        <v>45876.108216432862</v>
      </c>
      <c r="C301" t="s">
        <v>131</v>
      </c>
      <c r="D301" t="s">
        <v>49</v>
      </c>
      <c r="E301" t="s">
        <v>50</v>
      </c>
      <c r="F301" t="s">
        <v>40</v>
      </c>
      <c r="G301" t="s">
        <v>17</v>
      </c>
      <c r="H301" s="4">
        <v>8572.7999999999993</v>
      </c>
      <c r="I301">
        <v>3</v>
      </c>
      <c r="J301" s="5">
        <v>0</v>
      </c>
      <c r="K301">
        <v>1410.31</v>
      </c>
      <c r="L301" t="s">
        <v>51</v>
      </c>
      <c r="M301" s="16">
        <f t="shared" si="4"/>
        <v>45870</v>
      </c>
    </row>
    <row r="302" spans="1:13" x14ac:dyDescent="0.3">
      <c r="A302" t="s">
        <v>466</v>
      </c>
      <c r="B302" s="3">
        <v>45876.837675350696</v>
      </c>
      <c r="C302" t="s">
        <v>395</v>
      </c>
      <c r="D302" t="s">
        <v>28</v>
      </c>
      <c r="E302" t="s">
        <v>29</v>
      </c>
      <c r="F302" t="s">
        <v>75</v>
      </c>
      <c r="G302" t="s">
        <v>24</v>
      </c>
      <c r="H302" s="4">
        <v>6751.19</v>
      </c>
      <c r="I302">
        <v>1</v>
      </c>
      <c r="J302" s="5">
        <v>0.2</v>
      </c>
      <c r="K302">
        <v>1558.12</v>
      </c>
      <c r="L302" t="s">
        <v>68</v>
      </c>
      <c r="M302" s="16">
        <f t="shared" si="4"/>
        <v>45870</v>
      </c>
    </row>
    <row r="303" spans="1:13" x14ac:dyDescent="0.3">
      <c r="A303" t="s">
        <v>467</v>
      </c>
      <c r="B303" s="3">
        <v>45877.567134268531</v>
      </c>
      <c r="C303" t="s">
        <v>53</v>
      </c>
      <c r="D303" t="s">
        <v>14</v>
      </c>
      <c r="E303" t="s">
        <v>15</v>
      </c>
      <c r="F303" t="s">
        <v>94</v>
      </c>
      <c r="G303" t="s">
        <v>46</v>
      </c>
      <c r="H303" s="4">
        <v>42058.09</v>
      </c>
      <c r="I303">
        <v>3</v>
      </c>
      <c r="J303" s="5">
        <v>0.1</v>
      </c>
      <c r="K303">
        <v>8706.77</v>
      </c>
      <c r="L303" t="s">
        <v>68</v>
      </c>
      <c r="M303" s="16">
        <f t="shared" si="4"/>
        <v>45870</v>
      </c>
    </row>
    <row r="304" spans="1:13" x14ac:dyDescent="0.3">
      <c r="A304" t="s">
        <v>468</v>
      </c>
      <c r="B304" s="3">
        <v>45878.296593186373</v>
      </c>
      <c r="C304" t="s">
        <v>129</v>
      </c>
      <c r="D304" t="s">
        <v>54</v>
      </c>
      <c r="E304" t="s">
        <v>55</v>
      </c>
      <c r="F304" t="s">
        <v>23</v>
      </c>
      <c r="G304" t="s">
        <v>24</v>
      </c>
      <c r="H304" s="4">
        <v>11070.82</v>
      </c>
      <c r="I304">
        <v>1</v>
      </c>
      <c r="J304" s="5">
        <v>0</v>
      </c>
      <c r="K304">
        <v>1923.59</v>
      </c>
      <c r="L304" t="s">
        <v>18</v>
      </c>
      <c r="M304" s="16">
        <f t="shared" si="4"/>
        <v>45870</v>
      </c>
    </row>
    <row r="305" spans="1:13" x14ac:dyDescent="0.3">
      <c r="A305" t="s">
        <v>469</v>
      </c>
      <c r="B305" s="3">
        <v>45879.0260521042</v>
      </c>
      <c r="C305" t="s">
        <v>470</v>
      </c>
      <c r="D305" t="s">
        <v>38</v>
      </c>
      <c r="E305" t="s">
        <v>39</v>
      </c>
      <c r="F305" t="s">
        <v>34</v>
      </c>
      <c r="G305" t="s">
        <v>35</v>
      </c>
      <c r="H305" s="4">
        <v>1244.8</v>
      </c>
      <c r="I305">
        <v>1</v>
      </c>
      <c r="J305" s="5">
        <v>0.2</v>
      </c>
      <c r="K305">
        <v>311.76</v>
      </c>
      <c r="L305" t="s">
        <v>31</v>
      </c>
      <c r="M305" s="16">
        <f t="shared" si="4"/>
        <v>45870</v>
      </c>
    </row>
    <row r="306" spans="1:13" x14ac:dyDescent="0.3">
      <c r="A306" t="s">
        <v>471</v>
      </c>
      <c r="B306" s="3">
        <v>45879.755511022027</v>
      </c>
      <c r="C306" t="s">
        <v>265</v>
      </c>
      <c r="D306" t="s">
        <v>49</v>
      </c>
      <c r="E306" t="s">
        <v>50</v>
      </c>
      <c r="F306" t="s">
        <v>75</v>
      </c>
      <c r="G306" t="s">
        <v>24</v>
      </c>
      <c r="H306" s="4">
        <v>47086.8</v>
      </c>
      <c r="I306">
        <v>5</v>
      </c>
      <c r="J306" s="5">
        <v>0.05</v>
      </c>
      <c r="K306">
        <v>7808.71</v>
      </c>
      <c r="L306" t="s">
        <v>68</v>
      </c>
      <c r="M306" s="16">
        <f t="shared" si="4"/>
        <v>45870</v>
      </c>
    </row>
    <row r="307" spans="1:13" x14ac:dyDescent="0.3">
      <c r="A307" t="s">
        <v>472</v>
      </c>
      <c r="B307" s="3">
        <v>45880.484969939869</v>
      </c>
      <c r="C307" t="s">
        <v>345</v>
      </c>
      <c r="D307" t="s">
        <v>114</v>
      </c>
      <c r="E307" t="s">
        <v>114</v>
      </c>
      <c r="F307" t="s">
        <v>106</v>
      </c>
      <c r="G307" t="s">
        <v>35</v>
      </c>
      <c r="H307" s="4">
        <v>6265.91</v>
      </c>
      <c r="I307">
        <v>4</v>
      </c>
      <c r="J307" s="5">
        <v>0.05</v>
      </c>
      <c r="K307">
        <v>1425.58</v>
      </c>
      <c r="L307" t="s">
        <v>25</v>
      </c>
      <c r="M307" s="16">
        <f t="shared" si="4"/>
        <v>45870</v>
      </c>
    </row>
    <row r="308" spans="1:13" x14ac:dyDescent="0.3">
      <c r="A308" t="s">
        <v>473</v>
      </c>
      <c r="B308" s="3">
        <v>45881.214428857711</v>
      </c>
      <c r="C308" t="s">
        <v>170</v>
      </c>
      <c r="D308" t="s">
        <v>71</v>
      </c>
      <c r="E308" t="s">
        <v>55</v>
      </c>
      <c r="F308" t="s">
        <v>87</v>
      </c>
      <c r="G308" t="s">
        <v>17</v>
      </c>
      <c r="H308" s="4">
        <v>110255.67</v>
      </c>
      <c r="I308">
        <v>2</v>
      </c>
      <c r="J308" s="5">
        <v>0.1</v>
      </c>
      <c r="K308">
        <v>20230.73</v>
      </c>
      <c r="L308" t="s">
        <v>25</v>
      </c>
      <c r="M308" s="16">
        <f t="shared" si="4"/>
        <v>45870</v>
      </c>
    </row>
    <row r="309" spans="1:13" x14ac:dyDescent="0.3">
      <c r="A309" t="s">
        <v>474</v>
      </c>
      <c r="B309" s="3">
        <v>45881.943887775553</v>
      </c>
      <c r="C309" t="s">
        <v>79</v>
      </c>
      <c r="D309" t="s">
        <v>38</v>
      </c>
      <c r="E309" t="s">
        <v>39</v>
      </c>
      <c r="F309" t="s">
        <v>40</v>
      </c>
      <c r="G309" t="s">
        <v>17</v>
      </c>
      <c r="H309" s="4">
        <v>4497.24</v>
      </c>
      <c r="I309">
        <v>2</v>
      </c>
      <c r="J309" s="5">
        <v>0</v>
      </c>
      <c r="K309">
        <v>1212.55</v>
      </c>
      <c r="L309" t="s">
        <v>31</v>
      </c>
      <c r="M309" s="16">
        <f t="shared" si="4"/>
        <v>45870</v>
      </c>
    </row>
    <row r="310" spans="1:13" x14ac:dyDescent="0.3">
      <c r="A310" t="s">
        <v>475</v>
      </c>
      <c r="B310" s="3">
        <v>45882.67334669338</v>
      </c>
      <c r="C310" t="s">
        <v>269</v>
      </c>
      <c r="D310" t="s">
        <v>71</v>
      </c>
      <c r="E310" t="s">
        <v>55</v>
      </c>
      <c r="F310" t="s">
        <v>16</v>
      </c>
      <c r="G310" t="s">
        <v>17</v>
      </c>
      <c r="H310" s="4">
        <v>46883.43</v>
      </c>
      <c r="I310">
        <v>4</v>
      </c>
      <c r="J310" s="5">
        <v>0.05</v>
      </c>
      <c r="K310">
        <v>8323.3799999999992</v>
      </c>
      <c r="L310" t="s">
        <v>51</v>
      </c>
      <c r="M310" s="16">
        <f t="shared" si="4"/>
        <v>45870</v>
      </c>
    </row>
    <row r="311" spans="1:13" x14ac:dyDescent="0.3">
      <c r="A311" t="s">
        <v>476</v>
      </c>
      <c r="B311" s="3">
        <v>45883.402805611207</v>
      </c>
      <c r="C311" t="s">
        <v>219</v>
      </c>
      <c r="D311" t="s">
        <v>21</v>
      </c>
      <c r="E311" t="s">
        <v>22</v>
      </c>
      <c r="F311" t="s">
        <v>75</v>
      </c>
      <c r="G311" t="s">
        <v>24</v>
      </c>
      <c r="H311" s="4">
        <v>8115.23</v>
      </c>
      <c r="I311">
        <v>1</v>
      </c>
      <c r="J311" s="5">
        <v>0.1</v>
      </c>
      <c r="K311">
        <v>764.34</v>
      </c>
      <c r="L311" t="s">
        <v>31</v>
      </c>
      <c r="M311" s="16">
        <f t="shared" si="4"/>
        <v>45870</v>
      </c>
    </row>
    <row r="312" spans="1:13" x14ac:dyDescent="0.3">
      <c r="A312" t="s">
        <v>477</v>
      </c>
      <c r="B312" s="3">
        <v>45884.132264529049</v>
      </c>
      <c r="C312" t="s">
        <v>168</v>
      </c>
      <c r="D312" t="s">
        <v>61</v>
      </c>
      <c r="E312" t="s">
        <v>62</v>
      </c>
      <c r="F312" t="s">
        <v>56</v>
      </c>
      <c r="G312" t="s">
        <v>35</v>
      </c>
      <c r="H312" s="4">
        <v>2019.99</v>
      </c>
      <c r="I312">
        <v>2</v>
      </c>
      <c r="J312" s="5">
        <v>0</v>
      </c>
      <c r="K312">
        <v>351.33</v>
      </c>
      <c r="L312" t="s">
        <v>18</v>
      </c>
      <c r="M312" s="16">
        <f t="shared" si="4"/>
        <v>45870</v>
      </c>
    </row>
    <row r="313" spans="1:13" x14ac:dyDescent="0.3">
      <c r="A313" t="s">
        <v>478</v>
      </c>
      <c r="B313" s="3">
        <v>45884.861723446877</v>
      </c>
      <c r="C313" t="s">
        <v>179</v>
      </c>
      <c r="D313" t="s">
        <v>49</v>
      </c>
      <c r="E313" t="s">
        <v>50</v>
      </c>
      <c r="F313" t="s">
        <v>40</v>
      </c>
      <c r="G313" t="s">
        <v>17</v>
      </c>
      <c r="H313" s="4">
        <v>11163.22</v>
      </c>
      <c r="I313">
        <v>5</v>
      </c>
      <c r="J313" s="5">
        <v>0.1</v>
      </c>
      <c r="K313">
        <v>2092</v>
      </c>
      <c r="L313" t="s">
        <v>18</v>
      </c>
      <c r="M313" s="16">
        <f t="shared" si="4"/>
        <v>45870</v>
      </c>
    </row>
    <row r="314" spans="1:13" x14ac:dyDescent="0.3">
      <c r="A314" t="s">
        <v>479</v>
      </c>
      <c r="B314" s="3">
        <v>45885.591182364733</v>
      </c>
      <c r="C314" t="s">
        <v>124</v>
      </c>
      <c r="D314" t="s">
        <v>54</v>
      </c>
      <c r="E314" t="s">
        <v>55</v>
      </c>
      <c r="F314" t="s">
        <v>63</v>
      </c>
      <c r="G314" t="s">
        <v>17</v>
      </c>
      <c r="H314" s="4">
        <v>17796.009999999998</v>
      </c>
      <c r="I314">
        <v>1</v>
      </c>
      <c r="J314" s="5">
        <v>0.15</v>
      </c>
      <c r="K314">
        <v>3459.72</v>
      </c>
      <c r="L314" t="s">
        <v>31</v>
      </c>
      <c r="M314" s="16">
        <f t="shared" si="4"/>
        <v>45870</v>
      </c>
    </row>
    <row r="315" spans="1:13" x14ac:dyDescent="0.3">
      <c r="A315" t="s">
        <v>480</v>
      </c>
      <c r="B315" s="3">
        <v>45886.32064128256</v>
      </c>
      <c r="C315" t="s">
        <v>481</v>
      </c>
      <c r="D315" t="s">
        <v>38</v>
      </c>
      <c r="E315" t="s">
        <v>39</v>
      </c>
      <c r="F315" t="s">
        <v>23</v>
      </c>
      <c r="G315" t="s">
        <v>24</v>
      </c>
      <c r="H315" s="4">
        <v>47703.8</v>
      </c>
      <c r="I315">
        <v>5</v>
      </c>
      <c r="J315" s="5">
        <v>0.15</v>
      </c>
      <c r="K315">
        <v>8888.17</v>
      </c>
      <c r="L315" t="s">
        <v>31</v>
      </c>
      <c r="M315" s="16">
        <f t="shared" si="4"/>
        <v>45870</v>
      </c>
    </row>
    <row r="316" spans="1:13" x14ac:dyDescent="0.3">
      <c r="A316" t="s">
        <v>482</v>
      </c>
      <c r="B316" s="3">
        <v>45887.050100200388</v>
      </c>
      <c r="C316" t="s">
        <v>243</v>
      </c>
      <c r="D316" t="s">
        <v>14</v>
      </c>
      <c r="E316" t="s">
        <v>15</v>
      </c>
      <c r="F316" t="s">
        <v>34</v>
      </c>
      <c r="G316" t="s">
        <v>35</v>
      </c>
      <c r="H316" s="4">
        <v>4255.9799999999996</v>
      </c>
      <c r="I316">
        <v>3</v>
      </c>
      <c r="J316" s="5">
        <v>0.2</v>
      </c>
      <c r="K316">
        <v>481.1</v>
      </c>
      <c r="L316" t="s">
        <v>25</v>
      </c>
      <c r="M316" s="16">
        <f t="shared" si="4"/>
        <v>45870</v>
      </c>
    </row>
    <row r="317" spans="1:13" x14ac:dyDescent="0.3">
      <c r="A317" t="s">
        <v>483</v>
      </c>
      <c r="B317" s="3">
        <v>45887.779559118229</v>
      </c>
      <c r="C317" t="s">
        <v>118</v>
      </c>
      <c r="D317" t="s">
        <v>49</v>
      </c>
      <c r="E317" t="s">
        <v>50</v>
      </c>
      <c r="F317" t="s">
        <v>23</v>
      </c>
      <c r="G317" t="s">
        <v>24</v>
      </c>
      <c r="H317" s="4">
        <v>57467.33</v>
      </c>
      <c r="I317">
        <v>5</v>
      </c>
      <c r="J317" s="5">
        <v>0.1</v>
      </c>
      <c r="K317">
        <v>8153.15</v>
      </c>
      <c r="L317" t="s">
        <v>25</v>
      </c>
      <c r="M317" s="16">
        <f t="shared" si="4"/>
        <v>45870</v>
      </c>
    </row>
    <row r="318" spans="1:13" x14ac:dyDescent="0.3">
      <c r="A318" t="s">
        <v>484</v>
      </c>
      <c r="B318" s="3">
        <v>45888.509018036057</v>
      </c>
      <c r="C318" t="s">
        <v>311</v>
      </c>
      <c r="D318" t="s">
        <v>73</v>
      </c>
      <c r="E318" t="s">
        <v>74</v>
      </c>
      <c r="F318" t="s">
        <v>106</v>
      </c>
      <c r="G318" t="s">
        <v>35</v>
      </c>
      <c r="H318" s="4">
        <v>1873.66</v>
      </c>
      <c r="I318">
        <v>1</v>
      </c>
      <c r="J318" s="5">
        <v>0</v>
      </c>
      <c r="K318">
        <v>246.43</v>
      </c>
      <c r="L318" t="s">
        <v>25</v>
      </c>
      <c r="M318" s="16">
        <f t="shared" si="4"/>
        <v>45870</v>
      </c>
    </row>
    <row r="319" spans="1:13" x14ac:dyDescent="0.3">
      <c r="A319" t="s">
        <v>485</v>
      </c>
      <c r="B319" s="3">
        <v>45889.238476953898</v>
      </c>
      <c r="C319" t="s">
        <v>456</v>
      </c>
      <c r="D319" t="s">
        <v>43</v>
      </c>
      <c r="E319" t="s">
        <v>44</v>
      </c>
      <c r="F319" t="s">
        <v>30</v>
      </c>
      <c r="G319" t="s">
        <v>17</v>
      </c>
      <c r="H319" s="4">
        <v>53528.97</v>
      </c>
      <c r="I319">
        <v>2</v>
      </c>
      <c r="J319" s="5">
        <v>0.15</v>
      </c>
      <c r="K319">
        <v>11376.67</v>
      </c>
      <c r="L319" t="s">
        <v>25</v>
      </c>
      <c r="M319" s="16">
        <f t="shared" si="4"/>
        <v>45870</v>
      </c>
    </row>
    <row r="320" spans="1:13" x14ac:dyDescent="0.3">
      <c r="A320" t="s">
        <v>486</v>
      </c>
      <c r="B320" s="3">
        <v>45889.967935871733</v>
      </c>
      <c r="C320" t="s">
        <v>156</v>
      </c>
      <c r="D320" t="s">
        <v>49</v>
      </c>
      <c r="E320" t="s">
        <v>50</v>
      </c>
      <c r="F320" t="s">
        <v>16</v>
      </c>
      <c r="G320" t="s">
        <v>17</v>
      </c>
      <c r="H320" s="4">
        <v>12198.23</v>
      </c>
      <c r="I320">
        <v>1</v>
      </c>
      <c r="J320" s="5">
        <v>0</v>
      </c>
      <c r="K320">
        <v>1841.37</v>
      </c>
      <c r="L320" t="s">
        <v>68</v>
      </c>
      <c r="M320" s="16">
        <f t="shared" si="4"/>
        <v>45870</v>
      </c>
    </row>
    <row r="321" spans="1:13" x14ac:dyDescent="0.3">
      <c r="A321" t="s">
        <v>487</v>
      </c>
      <c r="B321" s="3">
        <v>45890.697394789568</v>
      </c>
      <c r="C321" t="s">
        <v>162</v>
      </c>
      <c r="D321" t="s">
        <v>38</v>
      </c>
      <c r="E321" t="s">
        <v>39</v>
      </c>
      <c r="F321" t="s">
        <v>45</v>
      </c>
      <c r="G321" t="s">
        <v>46</v>
      </c>
      <c r="H321" s="4">
        <v>502.39</v>
      </c>
      <c r="I321">
        <v>2</v>
      </c>
      <c r="J321" s="5">
        <v>0.1</v>
      </c>
      <c r="K321">
        <v>90.65</v>
      </c>
      <c r="L321" t="s">
        <v>31</v>
      </c>
      <c r="M321" s="16">
        <f t="shared" si="4"/>
        <v>45870</v>
      </c>
    </row>
    <row r="322" spans="1:13" x14ac:dyDescent="0.3">
      <c r="A322" t="s">
        <v>488</v>
      </c>
      <c r="B322" s="3">
        <v>45891.426853707409</v>
      </c>
      <c r="C322" t="s">
        <v>378</v>
      </c>
      <c r="D322" t="s">
        <v>38</v>
      </c>
      <c r="E322" t="s">
        <v>39</v>
      </c>
      <c r="F322" t="s">
        <v>75</v>
      </c>
      <c r="G322" t="s">
        <v>24</v>
      </c>
      <c r="I322">
        <v>4</v>
      </c>
      <c r="J322" s="5">
        <v>0.1</v>
      </c>
      <c r="K322">
        <v>6665.69</v>
      </c>
      <c r="L322" t="s">
        <v>51</v>
      </c>
      <c r="M322" s="16">
        <f t="shared" ref="M322:M385" si="5">DATE(YEAR(B322),MONTH(B322),1)</f>
        <v>45870</v>
      </c>
    </row>
    <row r="323" spans="1:13" x14ac:dyDescent="0.3">
      <c r="A323" t="s">
        <v>489</v>
      </c>
      <c r="B323" s="3">
        <v>45892.156312625237</v>
      </c>
      <c r="C323" t="s">
        <v>421</v>
      </c>
      <c r="D323" t="s">
        <v>90</v>
      </c>
      <c r="E323" t="s">
        <v>44</v>
      </c>
      <c r="F323" t="s">
        <v>94</v>
      </c>
      <c r="G323" t="s">
        <v>46</v>
      </c>
      <c r="H323" s="4">
        <v>53495.19</v>
      </c>
      <c r="I323">
        <v>4</v>
      </c>
      <c r="J323" s="5">
        <v>0.05</v>
      </c>
      <c r="K323">
        <v>10455.1</v>
      </c>
      <c r="L323" t="s">
        <v>68</v>
      </c>
      <c r="M323" s="16">
        <f t="shared" si="5"/>
        <v>45870</v>
      </c>
    </row>
    <row r="324" spans="1:13" x14ac:dyDescent="0.3">
      <c r="A324" t="s">
        <v>490</v>
      </c>
      <c r="B324" s="3">
        <v>45892.885771543079</v>
      </c>
      <c r="C324" t="s">
        <v>491</v>
      </c>
      <c r="D324" t="s">
        <v>90</v>
      </c>
      <c r="E324" t="s">
        <v>44</v>
      </c>
      <c r="F324" t="s">
        <v>94</v>
      </c>
      <c r="G324" t="s">
        <v>46</v>
      </c>
      <c r="H324" s="4">
        <v>12400.57</v>
      </c>
      <c r="I324">
        <v>1</v>
      </c>
      <c r="J324" s="5">
        <v>0.05</v>
      </c>
      <c r="K324">
        <v>3104.71</v>
      </c>
      <c r="L324" t="s">
        <v>68</v>
      </c>
      <c r="M324" s="16">
        <f t="shared" si="5"/>
        <v>45870</v>
      </c>
    </row>
    <row r="325" spans="1:13" x14ac:dyDescent="0.3">
      <c r="A325" t="s">
        <v>492</v>
      </c>
      <c r="B325" s="3">
        <v>45893.615230460913</v>
      </c>
      <c r="C325" t="s">
        <v>493</v>
      </c>
      <c r="D325" t="s">
        <v>14</v>
      </c>
      <c r="E325" t="s">
        <v>15</v>
      </c>
      <c r="F325" t="s">
        <v>94</v>
      </c>
      <c r="G325" t="s">
        <v>46</v>
      </c>
      <c r="H325" s="4">
        <v>74825.289999999994</v>
      </c>
      <c r="I325">
        <v>5</v>
      </c>
      <c r="J325" s="5">
        <v>0.1</v>
      </c>
      <c r="K325">
        <v>9372.2999999999993</v>
      </c>
      <c r="L325" t="s">
        <v>25</v>
      </c>
      <c r="M325" s="16">
        <f t="shared" si="5"/>
        <v>45870</v>
      </c>
    </row>
    <row r="326" spans="1:13" x14ac:dyDescent="0.3">
      <c r="A326" t="s">
        <v>494</v>
      </c>
      <c r="B326" s="3">
        <v>45894.344689378748</v>
      </c>
      <c r="C326" t="s">
        <v>103</v>
      </c>
      <c r="D326" t="s">
        <v>61</v>
      </c>
      <c r="E326" t="s">
        <v>62</v>
      </c>
      <c r="F326" t="s">
        <v>94</v>
      </c>
      <c r="G326" t="s">
        <v>46</v>
      </c>
      <c r="H326" s="4">
        <v>43804.2</v>
      </c>
      <c r="I326">
        <v>3</v>
      </c>
      <c r="J326" s="5">
        <v>0.05</v>
      </c>
      <c r="K326">
        <v>8770.25</v>
      </c>
      <c r="L326" t="s">
        <v>51</v>
      </c>
      <c r="M326" s="16">
        <f t="shared" si="5"/>
        <v>45870</v>
      </c>
    </row>
    <row r="327" spans="1:13" x14ac:dyDescent="0.3">
      <c r="A327" t="s">
        <v>495</v>
      </c>
      <c r="B327" s="3">
        <v>45895.074148296582</v>
      </c>
      <c r="C327" t="s">
        <v>491</v>
      </c>
      <c r="D327" t="s">
        <v>49</v>
      </c>
      <c r="E327" t="s">
        <v>50</v>
      </c>
      <c r="F327" t="s">
        <v>63</v>
      </c>
      <c r="G327" t="s">
        <v>17</v>
      </c>
      <c r="H327" s="4">
        <v>114809.44</v>
      </c>
      <c r="I327">
        <v>5</v>
      </c>
      <c r="J327" s="5">
        <v>0</v>
      </c>
      <c r="K327">
        <v>26679.57</v>
      </c>
      <c r="L327" t="s">
        <v>68</v>
      </c>
      <c r="M327" s="16">
        <f t="shared" si="5"/>
        <v>45870</v>
      </c>
    </row>
    <row r="328" spans="1:13" x14ac:dyDescent="0.3">
      <c r="A328" t="s">
        <v>496</v>
      </c>
      <c r="B328" s="3">
        <v>45895.803607214417</v>
      </c>
      <c r="C328" t="s">
        <v>497</v>
      </c>
      <c r="D328" t="s">
        <v>73</v>
      </c>
      <c r="E328" t="s">
        <v>74</v>
      </c>
      <c r="F328" t="s">
        <v>63</v>
      </c>
      <c r="G328" t="s">
        <v>17</v>
      </c>
      <c r="H328" s="4">
        <v>43516.75</v>
      </c>
      <c r="I328">
        <v>2</v>
      </c>
      <c r="J328" s="5">
        <v>0.05</v>
      </c>
      <c r="K328">
        <v>4105.47</v>
      </c>
      <c r="L328" t="s">
        <v>31</v>
      </c>
      <c r="M328" s="16">
        <f t="shared" si="5"/>
        <v>45870</v>
      </c>
    </row>
    <row r="329" spans="1:13" x14ac:dyDescent="0.3">
      <c r="A329" t="s">
        <v>498</v>
      </c>
      <c r="B329" s="3">
        <v>45896.533066132259</v>
      </c>
      <c r="C329" t="s">
        <v>103</v>
      </c>
      <c r="D329" t="s">
        <v>28</v>
      </c>
      <c r="E329" t="s">
        <v>29</v>
      </c>
      <c r="F329" t="s">
        <v>106</v>
      </c>
      <c r="G329" t="s">
        <v>35</v>
      </c>
      <c r="H329" s="4">
        <v>3572.15</v>
      </c>
      <c r="I329">
        <v>2</v>
      </c>
      <c r="J329" s="5">
        <v>0.1</v>
      </c>
      <c r="K329">
        <v>685.63</v>
      </c>
      <c r="L329" t="s">
        <v>68</v>
      </c>
      <c r="M329" s="16">
        <f t="shared" si="5"/>
        <v>45870</v>
      </c>
    </row>
    <row r="330" spans="1:13" x14ac:dyDescent="0.3">
      <c r="A330" t="s">
        <v>499</v>
      </c>
      <c r="B330" s="3">
        <v>45897.262525050093</v>
      </c>
      <c r="C330" t="s">
        <v>113</v>
      </c>
      <c r="D330" t="s">
        <v>43</v>
      </c>
      <c r="E330" t="s">
        <v>44</v>
      </c>
      <c r="F330" t="s">
        <v>106</v>
      </c>
      <c r="G330" t="s">
        <v>35</v>
      </c>
      <c r="H330" s="4">
        <v>5451.7</v>
      </c>
      <c r="I330">
        <v>3</v>
      </c>
      <c r="J330" s="5">
        <v>0</v>
      </c>
      <c r="K330">
        <v>544.41</v>
      </c>
      <c r="L330" t="s">
        <v>18</v>
      </c>
      <c r="M330" s="16">
        <f t="shared" si="5"/>
        <v>45870</v>
      </c>
    </row>
    <row r="331" spans="1:13" x14ac:dyDescent="0.3">
      <c r="A331" t="s">
        <v>500</v>
      </c>
      <c r="B331" s="3">
        <v>45897.991983967928</v>
      </c>
      <c r="C331" t="s">
        <v>421</v>
      </c>
      <c r="D331" t="s">
        <v>43</v>
      </c>
      <c r="E331" t="s">
        <v>44</v>
      </c>
      <c r="F331" t="s">
        <v>56</v>
      </c>
      <c r="G331" t="s">
        <v>35</v>
      </c>
      <c r="H331" s="4">
        <v>2293.41</v>
      </c>
      <c r="I331">
        <v>3</v>
      </c>
      <c r="J331" s="5">
        <v>0.05</v>
      </c>
      <c r="K331">
        <v>243.12</v>
      </c>
      <c r="L331" t="s">
        <v>51</v>
      </c>
      <c r="M331" s="16">
        <f t="shared" si="5"/>
        <v>45870</v>
      </c>
    </row>
    <row r="332" spans="1:13" x14ac:dyDescent="0.3">
      <c r="A332" t="s">
        <v>501</v>
      </c>
      <c r="B332" s="3">
        <v>45898.721442885762</v>
      </c>
      <c r="C332" t="s">
        <v>135</v>
      </c>
      <c r="D332" t="s">
        <v>61</v>
      </c>
      <c r="E332" t="s">
        <v>62</v>
      </c>
      <c r="F332" t="s">
        <v>106</v>
      </c>
      <c r="G332" t="s">
        <v>35</v>
      </c>
      <c r="H332" s="4">
        <v>5426.29</v>
      </c>
      <c r="I332">
        <v>3</v>
      </c>
      <c r="J332" s="5">
        <v>0.1</v>
      </c>
      <c r="K332">
        <v>1331.29</v>
      </c>
      <c r="L332" t="s">
        <v>31</v>
      </c>
      <c r="M332" s="16">
        <f t="shared" si="5"/>
        <v>45870</v>
      </c>
    </row>
    <row r="333" spans="1:13" x14ac:dyDescent="0.3">
      <c r="A333" t="s">
        <v>502</v>
      </c>
      <c r="B333" s="3">
        <v>45899.450901803597</v>
      </c>
      <c r="C333" t="s">
        <v>210</v>
      </c>
      <c r="D333" t="s">
        <v>28</v>
      </c>
      <c r="E333" t="s">
        <v>29</v>
      </c>
      <c r="F333" t="s">
        <v>16</v>
      </c>
      <c r="G333" t="s">
        <v>17</v>
      </c>
      <c r="H333" s="4">
        <v>56463.34</v>
      </c>
      <c r="I333">
        <v>5</v>
      </c>
      <c r="J333" s="5">
        <v>0.1</v>
      </c>
      <c r="K333">
        <v>10634.36</v>
      </c>
      <c r="L333" t="s">
        <v>18</v>
      </c>
      <c r="M333" s="16">
        <f t="shared" si="5"/>
        <v>45870</v>
      </c>
    </row>
    <row r="334" spans="1:13" x14ac:dyDescent="0.3">
      <c r="A334" t="s">
        <v>503</v>
      </c>
      <c r="B334" s="3">
        <v>45900.180360721439</v>
      </c>
      <c r="C334" t="s">
        <v>108</v>
      </c>
      <c r="D334" t="s">
        <v>14</v>
      </c>
      <c r="E334" t="s">
        <v>15</v>
      </c>
      <c r="F334" t="s">
        <v>40</v>
      </c>
      <c r="G334" t="s">
        <v>17</v>
      </c>
      <c r="H334" s="4">
        <v>6702.49</v>
      </c>
      <c r="I334">
        <v>3</v>
      </c>
      <c r="J334" s="5">
        <v>0.05</v>
      </c>
      <c r="K334">
        <v>797.09</v>
      </c>
      <c r="L334" t="s">
        <v>25</v>
      </c>
      <c r="M334" s="16">
        <f t="shared" si="5"/>
        <v>45870</v>
      </c>
    </row>
    <row r="335" spans="1:13" x14ac:dyDescent="0.3">
      <c r="A335" t="s">
        <v>504</v>
      </c>
      <c r="B335" s="3">
        <v>45900.909819639273</v>
      </c>
      <c r="C335" t="s">
        <v>243</v>
      </c>
      <c r="D335" t="s">
        <v>114</v>
      </c>
      <c r="E335" t="s">
        <v>114</v>
      </c>
      <c r="F335" t="s">
        <v>63</v>
      </c>
      <c r="G335" t="s">
        <v>17</v>
      </c>
      <c r="H335" s="4">
        <v>63785.5</v>
      </c>
      <c r="I335">
        <v>3</v>
      </c>
      <c r="J335" s="5">
        <v>0.05</v>
      </c>
      <c r="K335">
        <v>12507.92</v>
      </c>
      <c r="L335" t="s">
        <v>68</v>
      </c>
      <c r="M335" s="16">
        <f t="shared" si="5"/>
        <v>45870</v>
      </c>
    </row>
    <row r="336" spans="1:13" x14ac:dyDescent="0.3">
      <c r="A336" t="s">
        <v>505</v>
      </c>
      <c r="B336" s="3">
        <v>45901.639278557108</v>
      </c>
      <c r="C336" t="s">
        <v>170</v>
      </c>
      <c r="D336" t="s">
        <v>43</v>
      </c>
      <c r="E336" t="s">
        <v>44</v>
      </c>
      <c r="F336" t="s">
        <v>34</v>
      </c>
      <c r="G336" t="s">
        <v>35</v>
      </c>
      <c r="H336" s="4">
        <v>5590.27</v>
      </c>
      <c r="I336">
        <v>4</v>
      </c>
      <c r="J336" s="5">
        <v>0.2</v>
      </c>
      <c r="K336">
        <v>1431.46</v>
      </c>
      <c r="L336" t="s">
        <v>31</v>
      </c>
      <c r="M336" s="16">
        <f t="shared" si="5"/>
        <v>45901</v>
      </c>
    </row>
    <row r="337" spans="1:13" x14ac:dyDescent="0.3">
      <c r="A337" t="s">
        <v>506</v>
      </c>
      <c r="B337" s="3">
        <v>45902.368737474942</v>
      </c>
      <c r="C337" t="s">
        <v>108</v>
      </c>
      <c r="D337" t="s">
        <v>49</v>
      </c>
      <c r="E337" t="s">
        <v>50</v>
      </c>
      <c r="F337" t="s">
        <v>45</v>
      </c>
      <c r="G337" t="s">
        <v>46</v>
      </c>
      <c r="H337" s="4">
        <v>648.66</v>
      </c>
      <c r="I337">
        <v>3</v>
      </c>
      <c r="J337" s="5">
        <v>0.05</v>
      </c>
      <c r="K337">
        <v>57.01</v>
      </c>
      <c r="L337" t="s">
        <v>25</v>
      </c>
      <c r="M337" s="16">
        <f t="shared" si="5"/>
        <v>45901</v>
      </c>
    </row>
    <row r="338" spans="1:13" x14ac:dyDescent="0.3">
      <c r="A338" t="s">
        <v>507</v>
      </c>
      <c r="B338" s="3">
        <v>45903.098196392777</v>
      </c>
      <c r="C338" t="s">
        <v>261</v>
      </c>
      <c r="D338" t="s">
        <v>28</v>
      </c>
      <c r="E338" t="s">
        <v>29</v>
      </c>
      <c r="F338" t="s">
        <v>40</v>
      </c>
      <c r="G338" t="s">
        <v>17</v>
      </c>
      <c r="H338" s="4">
        <v>7579.14</v>
      </c>
      <c r="I338">
        <v>3</v>
      </c>
      <c r="J338" s="5">
        <v>0.1</v>
      </c>
      <c r="K338">
        <v>1414.85</v>
      </c>
      <c r="L338" t="s">
        <v>68</v>
      </c>
      <c r="M338" s="16">
        <f t="shared" si="5"/>
        <v>45901</v>
      </c>
    </row>
    <row r="339" spans="1:13" x14ac:dyDescent="0.3">
      <c r="A339" t="s">
        <v>508</v>
      </c>
      <c r="B339" s="3">
        <v>45903.827655310612</v>
      </c>
      <c r="C339" t="s">
        <v>124</v>
      </c>
      <c r="D339" t="s">
        <v>28</v>
      </c>
      <c r="E339" t="s">
        <v>29</v>
      </c>
      <c r="F339" t="s">
        <v>34</v>
      </c>
      <c r="G339" t="s">
        <v>35</v>
      </c>
      <c r="H339" s="4">
        <v>5620.25</v>
      </c>
      <c r="I339">
        <v>4</v>
      </c>
      <c r="J339" s="5">
        <v>0.1</v>
      </c>
      <c r="K339">
        <v>974.31</v>
      </c>
      <c r="L339" t="s">
        <v>31</v>
      </c>
      <c r="M339" s="16">
        <f t="shared" si="5"/>
        <v>45901</v>
      </c>
    </row>
    <row r="340" spans="1:13" x14ac:dyDescent="0.3">
      <c r="A340" t="s">
        <v>509</v>
      </c>
      <c r="B340" s="3">
        <v>45904.557114228453</v>
      </c>
      <c r="C340" t="s">
        <v>216</v>
      </c>
      <c r="D340" t="s">
        <v>71</v>
      </c>
      <c r="E340" t="s">
        <v>55</v>
      </c>
      <c r="F340" t="s">
        <v>40</v>
      </c>
      <c r="G340" t="s">
        <v>17</v>
      </c>
      <c r="H340" s="4">
        <v>5435.41</v>
      </c>
      <c r="I340">
        <v>2</v>
      </c>
      <c r="J340" s="5">
        <v>0.05</v>
      </c>
      <c r="K340">
        <v>1373.58</v>
      </c>
      <c r="L340" t="s">
        <v>25</v>
      </c>
      <c r="M340" s="16">
        <f t="shared" si="5"/>
        <v>45901</v>
      </c>
    </row>
    <row r="341" spans="1:13" x14ac:dyDescent="0.3">
      <c r="A341" t="s">
        <v>510</v>
      </c>
      <c r="B341" s="3">
        <v>45905.286573146288</v>
      </c>
      <c r="C341" t="s">
        <v>290</v>
      </c>
      <c r="D341" t="s">
        <v>28</v>
      </c>
      <c r="E341" t="s">
        <v>29</v>
      </c>
      <c r="F341" t="s">
        <v>34</v>
      </c>
      <c r="G341" t="s">
        <v>35</v>
      </c>
      <c r="H341" s="4">
        <v>1742.17</v>
      </c>
      <c r="I341">
        <v>1</v>
      </c>
      <c r="J341" s="5">
        <v>0.05</v>
      </c>
      <c r="K341">
        <v>350.44</v>
      </c>
      <c r="L341" t="s">
        <v>51</v>
      </c>
      <c r="M341" s="16">
        <f t="shared" si="5"/>
        <v>45901</v>
      </c>
    </row>
    <row r="342" spans="1:13" x14ac:dyDescent="0.3">
      <c r="A342" t="s">
        <v>511</v>
      </c>
      <c r="B342" s="3">
        <v>45906.016032064123</v>
      </c>
      <c r="C342" t="s">
        <v>77</v>
      </c>
      <c r="D342" t="s">
        <v>90</v>
      </c>
      <c r="E342" t="s">
        <v>44</v>
      </c>
      <c r="F342" t="s">
        <v>40</v>
      </c>
      <c r="G342" t="s">
        <v>17</v>
      </c>
      <c r="H342" s="4">
        <v>13587.63</v>
      </c>
      <c r="I342">
        <v>5</v>
      </c>
      <c r="J342" s="5">
        <v>0.05</v>
      </c>
      <c r="K342">
        <v>3335.81</v>
      </c>
      <c r="L342" t="s">
        <v>68</v>
      </c>
      <c r="M342" s="16">
        <f t="shared" si="5"/>
        <v>45901</v>
      </c>
    </row>
    <row r="343" spans="1:13" x14ac:dyDescent="0.3">
      <c r="A343" t="s">
        <v>512</v>
      </c>
      <c r="B343" s="3">
        <v>45906.745490981957</v>
      </c>
      <c r="C343" t="s">
        <v>243</v>
      </c>
      <c r="D343" t="s">
        <v>71</v>
      </c>
      <c r="E343" t="s">
        <v>55</v>
      </c>
      <c r="F343" t="s">
        <v>94</v>
      </c>
      <c r="G343" t="s">
        <v>46</v>
      </c>
      <c r="H343" s="4">
        <v>45951.32</v>
      </c>
      <c r="I343">
        <v>4</v>
      </c>
      <c r="J343" s="5">
        <v>0.1</v>
      </c>
      <c r="K343">
        <v>6418.8</v>
      </c>
      <c r="L343" t="s">
        <v>18</v>
      </c>
      <c r="M343" s="16">
        <f t="shared" si="5"/>
        <v>45901</v>
      </c>
    </row>
    <row r="344" spans="1:13" x14ac:dyDescent="0.3">
      <c r="A344" t="s">
        <v>513</v>
      </c>
      <c r="B344" s="3">
        <v>45907.474949899792</v>
      </c>
      <c r="C344" t="s">
        <v>86</v>
      </c>
      <c r="D344" t="s">
        <v>21</v>
      </c>
      <c r="E344" t="s">
        <v>22</v>
      </c>
      <c r="F344" t="s">
        <v>106</v>
      </c>
      <c r="G344" t="s">
        <v>35</v>
      </c>
      <c r="H344" s="4">
        <v>10273.14</v>
      </c>
      <c r="I344">
        <v>5</v>
      </c>
      <c r="J344" s="5">
        <v>0</v>
      </c>
      <c r="K344">
        <v>2330.0100000000002</v>
      </c>
      <c r="L344" t="s">
        <v>68</v>
      </c>
      <c r="M344" s="16">
        <f t="shared" si="5"/>
        <v>45901</v>
      </c>
    </row>
    <row r="345" spans="1:13" x14ac:dyDescent="0.3">
      <c r="A345" t="s">
        <v>514</v>
      </c>
      <c r="B345" s="3">
        <v>45908.204408817634</v>
      </c>
      <c r="C345" t="s">
        <v>186</v>
      </c>
      <c r="D345" t="s">
        <v>28</v>
      </c>
      <c r="E345" t="s">
        <v>29</v>
      </c>
      <c r="F345" t="s">
        <v>34</v>
      </c>
      <c r="G345" t="s">
        <v>35</v>
      </c>
      <c r="H345" s="4">
        <v>5711.9</v>
      </c>
      <c r="I345">
        <v>3</v>
      </c>
      <c r="J345" s="5">
        <v>0</v>
      </c>
      <c r="K345">
        <v>798.98</v>
      </c>
      <c r="L345" t="s">
        <v>31</v>
      </c>
      <c r="M345" s="16">
        <f t="shared" si="5"/>
        <v>45901</v>
      </c>
    </row>
    <row r="346" spans="1:13" x14ac:dyDescent="0.3">
      <c r="A346" t="s">
        <v>515</v>
      </c>
      <c r="B346" s="3">
        <v>45908.933867735461</v>
      </c>
      <c r="C346" t="s">
        <v>516</v>
      </c>
      <c r="D346" t="s">
        <v>49</v>
      </c>
      <c r="E346" t="s">
        <v>50</v>
      </c>
      <c r="F346" t="s">
        <v>40</v>
      </c>
      <c r="G346" t="s">
        <v>17</v>
      </c>
      <c r="H346" s="4">
        <v>2176.04</v>
      </c>
      <c r="I346">
        <v>1</v>
      </c>
      <c r="J346" s="5">
        <v>0.2</v>
      </c>
      <c r="K346">
        <v>261.41000000000003</v>
      </c>
      <c r="L346" t="s">
        <v>18</v>
      </c>
      <c r="M346" s="16">
        <f t="shared" si="5"/>
        <v>45901</v>
      </c>
    </row>
    <row r="347" spans="1:13" x14ac:dyDescent="0.3">
      <c r="A347" t="s">
        <v>517</v>
      </c>
      <c r="B347" s="3">
        <v>45909.663326653303</v>
      </c>
      <c r="C347" t="s">
        <v>383</v>
      </c>
      <c r="D347" t="s">
        <v>90</v>
      </c>
      <c r="E347" t="s">
        <v>44</v>
      </c>
      <c r="F347" t="s">
        <v>16</v>
      </c>
      <c r="G347" t="s">
        <v>17</v>
      </c>
      <c r="H347" s="4">
        <v>14558.21</v>
      </c>
      <c r="I347">
        <v>1</v>
      </c>
      <c r="J347" s="5">
        <v>0</v>
      </c>
      <c r="K347">
        <v>1181.1500000000001</v>
      </c>
      <c r="L347" t="s">
        <v>25</v>
      </c>
      <c r="M347" s="16">
        <f t="shared" si="5"/>
        <v>45901</v>
      </c>
    </row>
    <row r="348" spans="1:13" x14ac:dyDescent="0.3">
      <c r="A348" t="s">
        <v>518</v>
      </c>
      <c r="B348" s="3">
        <v>45910.392785571137</v>
      </c>
      <c r="C348" t="s">
        <v>427</v>
      </c>
      <c r="D348" t="s">
        <v>38</v>
      </c>
      <c r="E348" t="s">
        <v>39</v>
      </c>
      <c r="F348" t="s">
        <v>87</v>
      </c>
      <c r="G348" t="s">
        <v>17</v>
      </c>
      <c r="H348" s="4">
        <v>233202.26</v>
      </c>
      <c r="I348">
        <v>4</v>
      </c>
      <c r="J348" s="5">
        <v>0</v>
      </c>
      <c r="K348">
        <v>37270.39</v>
      </c>
      <c r="L348" t="s">
        <v>18</v>
      </c>
      <c r="M348" s="16">
        <f t="shared" si="5"/>
        <v>45901</v>
      </c>
    </row>
    <row r="349" spans="1:13" x14ac:dyDescent="0.3">
      <c r="A349" t="s">
        <v>519</v>
      </c>
      <c r="B349" s="3">
        <v>45911.122244488972</v>
      </c>
      <c r="C349" t="s">
        <v>162</v>
      </c>
      <c r="D349" t="s">
        <v>71</v>
      </c>
      <c r="E349" t="s">
        <v>55</v>
      </c>
      <c r="F349" t="s">
        <v>23</v>
      </c>
      <c r="G349" t="s">
        <v>24</v>
      </c>
      <c r="H349" s="4">
        <v>33683.910000000003</v>
      </c>
      <c r="I349">
        <v>3</v>
      </c>
      <c r="J349" s="5">
        <v>0.1</v>
      </c>
      <c r="K349">
        <v>7395.34</v>
      </c>
      <c r="L349" t="s">
        <v>51</v>
      </c>
      <c r="M349" s="16">
        <f t="shared" si="5"/>
        <v>45901</v>
      </c>
    </row>
    <row r="350" spans="1:13" x14ac:dyDescent="0.3">
      <c r="A350" t="s">
        <v>520</v>
      </c>
      <c r="B350" s="3">
        <v>45911.851703406814</v>
      </c>
      <c r="C350" t="s">
        <v>405</v>
      </c>
      <c r="D350" t="s">
        <v>49</v>
      </c>
      <c r="E350" t="s">
        <v>50</v>
      </c>
      <c r="F350" t="s">
        <v>87</v>
      </c>
      <c r="G350" t="s">
        <v>17</v>
      </c>
      <c r="H350" s="4">
        <v>107747.11</v>
      </c>
      <c r="I350">
        <v>2</v>
      </c>
      <c r="J350" s="5">
        <v>0.1</v>
      </c>
      <c r="K350">
        <v>9702.11</v>
      </c>
      <c r="L350" t="s">
        <v>68</v>
      </c>
      <c r="M350" s="16">
        <f t="shared" si="5"/>
        <v>45901</v>
      </c>
    </row>
    <row r="351" spans="1:13" x14ac:dyDescent="0.3">
      <c r="A351" t="s">
        <v>521</v>
      </c>
      <c r="B351" s="3">
        <v>45912.581162324641</v>
      </c>
      <c r="C351" t="s">
        <v>122</v>
      </c>
      <c r="D351" t="s">
        <v>49</v>
      </c>
      <c r="E351" t="s">
        <v>50</v>
      </c>
      <c r="F351" t="s">
        <v>63</v>
      </c>
      <c r="G351" t="s">
        <v>17</v>
      </c>
      <c r="H351" s="4">
        <v>34942.870000000003</v>
      </c>
      <c r="I351">
        <v>2</v>
      </c>
      <c r="J351" s="5">
        <v>0.15</v>
      </c>
      <c r="K351">
        <v>9289.41</v>
      </c>
      <c r="L351" t="s">
        <v>68</v>
      </c>
      <c r="M351" s="16">
        <f t="shared" si="5"/>
        <v>45901</v>
      </c>
    </row>
    <row r="352" spans="1:13" x14ac:dyDescent="0.3">
      <c r="A352" t="s">
        <v>522</v>
      </c>
      <c r="B352" s="3">
        <v>45913.310621242483</v>
      </c>
      <c r="C352" t="s">
        <v>175</v>
      </c>
      <c r="D352" t="s">
        <v>14</v>
      </c>
      <c r="E352" t="s">
        <v>15</v>
      </c>
      <c r="F352" t="s">
        <v>106</v>
      </c>
      <c r="G352" t="s">
        <v>35</v>
      </c>
      <c r="H352" s="4">
        <v>1826.45</v>
      </c>
      <c r="I352">
        <v>1</v>
      </c>
      <c r="J352" s="5">
        <v>0</v>
      </c>
      <c r="K352">
        <v>158.41999999999999</v>
      </c>
      <c r="L352" t="s">
        <v>18</v>
      </c>
      <c r="M352" s="16">
        <f t="shared" si="5"/>
        <v>45901</v>
      </c>
    </row>
    <row r="353" spans="1:13" x14ac:dyDescent="0.3">
      <c r="A353" t="s">
        <v>523</v>
      </c>
      <c r="B353" s="3">
        <v>45914.04008016031</v>
      </c>
      <c r="C353" t="s">
        <v>53</v>
      </c>
      <c r="D353" t="s">
        <v>38</v>
      </c>
      <c r="E353" t="s">
        <v>39</v>
      </c>
      <c r="F353" t="s">
        <v>94</v>
      </c>
      <c r="G353" t="s">
        <v>46</v>
      </c>
      <c r="H353" s="4">
        <v>13590.7</v>
      </c>
      <c r="I353">
        <v>1</v>
      </c>
      <c r="J353" s="5">
        <v>0.15</v>
      </c>
      <c r="K353">
        <v>2321.15</v>
      </c>
      <c r="L353" t="s">
        <v>25</v>
      </c>
      <c r="M353" s="16">
        <f t="shared" si="5"/>
        <v>45901</v>
      </c>
    </row>
    <row r="354" spans="1:13" x14ac:dyDescent="0.3">
      <c r="A354" t="s">
        <v>524</v>
      </c>
      <c r="B354" s="3">
        <v>45914.769539078137</v>
      </c>
      <c r="C354" t="s">
        <v>79</v>
      </c>
      <c r="D354" t="s">
        <v>54</v>
      </c>
      <c r="E354" t="s">
        <v>55</v>
      </c>
      <c r="F354" t="s">
        <v>30</v>
      </c>
      <c r="G354" t="s">
        <v>17</v>
      </c>
      <c r="H354" s="4">
        <v>54273.48</v>
      </c>
      <c r="I354">
        <v>2</v>
      </c>
      <c r="J354" s="5">
        <v>0.15</v>
      </c>
      <c r="K354">
        <v>13068.6</v>
      </c>
      <c r="L354" t="s">
        <v>68</v>
      </c>
      <c r="M354" s="16">
        <f t="shared" si="5"/>
        <v>45901</v>
      </c>
    </row>
    <row r="355" spans="1:13" x14ac:dyDescent="0.3">
      <c r="A355" t="s">
        <v>525</v>
      </c>
      <c r="B355" s="3">
        <v>45915.498997995986</v>
      </c>
      <c r="C355" t="s">
        <v>424</v>
      </c>
      <c r="D355" t="s">
        <v>21</v>
      </c>
      <c r="E355" t="s">
        <v>22</v>
      </c>
      <c r="F355" t="s">
        <v>75</v>
      </c>
      <c r="G355" t="s">
        <v>24</v>
      </c>
      <c r="H355" s="4">
        <v>17467.810000000001</v>
      </c>
      <c r="I355">
        <v>2</v>
      </c>
      <c r="J355" s="5">
        <v>0</v>
      </c>
      <c r="K355">
        <v>4478.72</v>
      </c>
      <c r="L355" t="s">
        <v>18</v>
      </c>
      <c r="M355" s="16">
        <f t="shared" si="5"/>
        <v>45901</v>
      </c>
    </row>
    <row r="356" spans="1:13" x14ac:dyDescent="0.3">
      <c r="A356" t="s">
        <v>526</v>
      </c>
      <c r="B356" s="3">
        <v>45916.228456913821</v>
      </c>
      <c r="C356" t="s">
        <v>172</v>
      </c>
      <c r="D356" t="s">
        <v>38</v>
      </c>
      <c r="E356" t="s">
        <v>39</v>
      </c>
      <c r="F356" t="s">
        <v>63</v>
      </c>
      <c r="G356" t="s">
        <v>17</v>
      </c>
      <c r="H356" s="4">
        <v>20796.07</v>
      </c>
      <c r="I356">
        <v>1</v>
      </c>
      <c r="J356" s="5">
        <v>0</v>
      </c>
      <c r="K356">
        <v>3789.58</v>
      </c>
      <c r="L356" t="s">
        <v>31</v>
      </c>
      <c r="M356" s="16">
        <f t="shared" si="5"/>
        <v>45901</v>
      </c>
    </row>
    <row r="357" spans="1:13" x14ac:dyDescent="0.3">
      <c r="A357" t="s">
        <v>527</v>
      </c>
      <c r="B357" s="3">
        <v>45916.957915831663</v>
      </c>
      <c r="C357" t="s">
        <v>27</v>
      </c>
      <c r="D357" t="s">
        <v>14</v>
      </c>
      <c r="E357" t="s">
        <v>15</v>
      </c>
      <c r="F357" t="s">
        <v>23</v>
      </c>
      <c r="G357" t="s">
        <v>24</v>
      </c>
      <c r="H357" s="4">
        <v>22574.06</v>
      </c>
      <c r="I357">
        <v>2</v>
      </c>
      <c r="J357" s="5">
        <v>0.05</v>
      </c>
      <c r="K357">
        <v>6051.87</v>
      </c>
      <c r="L357" t="s">
        <v>31</v>
      </c>
      <c r="M357" s="16">
        <f t="shared" si="5"/>
        <v>45901</v>
      </c>
    </row>
    <row r="358" spans="1:13" x14ac:dyDescent="0.3">
      <c r="A358" t="s">
        <v>528</v>
      </c>
      <c r="B358" s="3">
        <v>45917.68737474949</v>
      </c>
      <c r="C358" t="s">
        <v>493</v>
      </c>
      <c r="D358" t="s">
        <v>21</v>
      </c>
      <c r="E358" t="s">
        <v>22</v>
      </c>
      <c r="F358" t="s">
        <v>40</v>
      </c>
      <c r="G358" t="s">
        <v>17</v>
      </c>
      <c r="H358" s="4">
        <v>2619.1799999999998</v>
      </c>
      <c r="I358">
        <v>1</v>
      </c>
      <c r="J358" s="5">
        <v>0.05</v>
      </c>
      <c r="K358">
        <v>622.80999999999995</v>
      </c>
      <c r="L358" t="s">
        <v>31</v>
      </c>
      <c r="M358" s="16">
        <f t="shared" si="5"/>
        <v>45901</v>
      </c>
    </row>
    <row r="359" spans="1:13" x14ac:dyDescent="0.3">
      <c r="A359" t="s">
        <v>529</v>
      </c>
      <c r="B359" s="3">
        <v>45918.416833667317</v>
      </c>
      <c r="C359" t="s">
        <v>335</v>
      </c>
      <c r="D359" t="s">
        <v>28</v>
      </c>
      <c r="E359" t="s">
        <v>29</v>
      </c>
      <c r="F359" t="s">
        <v>23</v>
      </c>
      <c r="G359" t="s">
        <v>24</v>
      </c>
      <c r="H359" s="4">
        <v>50522.02</v>
      </c>
      <c r="I359">
        <v>4</v>
      </c>
      <c r="J359" s="5">
        <v>0</v>
      </c>
      <c r="K359">
        <v>4469.09</v>
      </c>
      <c r="L359" t="s">
        <v>51</v>
      </c>
      <c r="M359" s="16">
        <f t="shared" si="5"/>
        <v>45901</v>
      </c>
    </row>
    <row r="360" spans="1:13" x14ac:dyDescent="0.3">
      <c r="A360" t="s">
        <v>530</v>
      </c>
      <c r="B360" s="3">
        <v>45919.146292585159</v>
      </c>
      <c r="C360" t="s">
        <v>497</v>
      </c>
      <c r="D360" t="s">
        <v>14</v>
      </c>
      <c r="E360" t="s">
        <v>15</v>
      </c>
      <c r="F360" t="s">
        <v>106</v>
      </c>
      <c r="G360" t="s">
        <v>35</v>
      </c>
      <c r="H360" s="4">
        <v>10013.879999999999</v>
      </c>
      <c r="I360">
        <v>5</v>
      </c>
      <c r="J360" s="5">
        <v>0</v>
      </c>
      <c r="K360">
        <v>1358.76</v>
      </c>
      <c r="L360" t="s">
        <v>25</v>
      </c>
      <c r="M360" s="16">
        <f t="shared" si="5"/>
        <v>45901</v>
      </c>
    </row>
    <row r="361" spans="1:13" x14ac:dyDescent="0.3">
      <c r="A361" t="s">
        <v>531</v>
      </c>
      <c r="B361" s="3">
        <v>45919.875751503001</v>
      </c>
      <c r="C361" t="s">
        <v>108</v>
      </c>
      <c r="D361" t="s">
        <v>38</v>
      </c>
      <c r="E361" t="s">
        <v>39</v>
      </c>
      <c r="F361" t="s">
        <v>94</v>
      </c>
      <c r="G361" t="s">
        <v>46</v>
      </c>
      <c r="H361" s="4">
        <v>67001.98</v>
      </c>
      <c r="I361">
        <v>5</v>
      </c>
      <c r="J361" s="5">
        <v>0.1</v>
      </c>
      <c r="K361">
        <v>18753.400000000001</v>
      </c>
      <c r="L361" t="s">
        <v>25</v>
      </c>
      <c r="M361" s="16">
        <f t="shared" si="5"/>
        <v>45901</v>
      </c>
    </row>
    <row r="362" spans="1:13" x14ac:dyDescent="0.3">
      <c r="A362" t="s">
        <v>532</v>
      </c>
      <c r="B362" s="3">
        <v>45920.605210420843</v>
      </c>
      <c r="C362" t="s">
        <v>60</v>
      </c>
      <c r="D362" t="s">
        <v>38</v>
      </c>
      <c r="E362" t="s">
        <v>39</v>
      </c>
      <c r="F362" t="s">
        <v>40</v>
      </c>
      <c r="G362" t="s">
        <v>17</v>
      </c>
      <c r="H362" s="4">
        <v>4421.3900000000003</v>
      </c>
      <c r="I362">
        <v>2</v>
      </c>
      <c r="J362" s="5">
        <v>0.15</v>
      </c>
      <c r="K362">
        <v>356.26</v>
      </c>
      <c r="L362" t="s">
        <v>68</v>
      </c>
      <c r="M362" s="16">
        <f t="shared" si="5"/>
        <v>45901</v>
      </c>
    </row>
    <row r="363" spans="1:13" x14ac:dyDescent="0.3">
      <c r="A363" t="s">
        <v>533</v>
      </c>
      <c r="B363" s="3">
        <v>45921.33466933867</v>
      </c>
      <c r="C363" t="s">
        <v>48</v>
      </c>
      <c r="D363" t="s">
        <v>43</v>
      </c>
      <c r="E363" t="s">
        <v>44</v>
      </c>
      <c r="F363" t="s">
        <v>106</v>
      </c>
      <c r="G363" t="s">
        <v>35</v>
      </c>
      <c r="H363" s="4">
        <v>7895.38</v>
      </c>
      <c r="I363">
        <v>5</v>
      </c>
      <c r="J363" s="5">
        <v>0.1</v>
      </c>
      <c r="K363">
        <v>1217.72</v>
      </c>
      <c r="L363" t="s">
        <v>31</v>
      </c>
      <c r="M363" s="16">
        <f t="shared" si="5"/>
        <v>45901</v>
      </c>
    </row>
    <row r="364" spans="1:13" x14ac:dyDescent="0.3">
      <c r="A364" t="s">
        <v>534</v>
      </c>
      <c r="B364" s="3">
        <v>45922.064128256497</v>
      </c>
      <c r="C364" t="s">
        <v>282</v>
      </c>
      <c r="D364" t="s">
        <v>54</v>
      </c>
      <c r="E364" t="s">
        <v>55</v>
      </c>
      <c r="F364" t="s">
        <v>75</v>
      </c>
      <c r="G364" t="s">
        <v>24</v>
      </c>
      <c r="H364" s="4">
        <v>36798.410000000003</v>
      </c>
      <c r="I364">
        <v>5</v>
      </c>
      <c r="J364" s="5">
        <v>0.05</v>
      </c>
      <c r="K364">
        <v>9794.32</v>
      </c>
      <c r="L364" t="s">
        <v>18</v>
      </c>
      <c r="M364" s="16">
        <f t="shared" si="5"/>
        <v>45901</v>
      </c>
    </row>
    <row r="365" spans="1:13" x14ac:dyDescent="0.3">
      <c r="A365" t="s">
        <v>535</v>
      </c>
      <c r="B365" s="3">
        <v>45922.793587174339</v>
      </c>
      <c r="C365" t="s">
        <v>135</v>
      </c>
      <c r="D365" t="s">
        <v>61</v>
      </c>
      <c r="E365" t="s">
        <v>62</v>
      </c>
      <c r="F365" t="s">
        <v>56</v>
      </c>
      <c r="G365" t="s">
        <v>35</v>
      </c>
      <c r="H365" s="4">
        <v>2804.73</v>
      </c>
      <c r="I365">
        <v>4</v>
      </c>
      <c r="J365" s="5">
        <v>0.1</v>
      </c>
      <c r="K365">
        <v>486.99</v>
      </c>
      <c r="L365" t="s">
        <v>68</v>
      </c>
      <c r="M365" s="16">
        <f t="shared" si="5"/>
        <v>45901</v>
      </c>
    </row>
    <row r="366" spans="1:13" x14ac:dyDescent="0.3">
      <c r="A366" t="s">
        <v>536</v>
      </c>
      <c r="B366" s="3">
        <v>45923.523046092167</v>
      </c>
      <c r="C366" t="s">
        <v>152</v>
      </c>
      <c r="D366" t="s">
        <v>61</v>
      </c>
      <c r="E366" t="s">
        <v>62</v>
      </c>
      <c r="F366" t="s">
        <v>34</v>
      </c>
      <c r="G366" t="s">
        <v>35</v>
      </c>
      <c r="H366" s="4">
        <v>4819.7700000000004</v>
      </c>
      <c r="I366">
        <v>3</v>
      </c>
      <c r="J366" s="5">
        <v>0.15</v>
      </c>
      <c r="K366">
        <v>1139.4100000000001</v>
      </c>
      <c r="L366" t="s">
        <v>51</v>
      </c>
      <c r="M366" s="16">
        <f t="shared" si="5"/>
        <v>45901</v>
      </c>
    </row>
    <row r="367" spans="1:13" x14ac:dyDescent="0.3">
      <c r="A367" t="s">
        <v>537</v>
      </c>
      <c r="B367" s="3">
        <v>45924.252505010008</v>
      </c>
      <c r="C367" t="s">
        <v>290</v>
      </c>
      <c r="D367" t="s">
        <v>114</v>
      </c>
      <c r="E367" t="s">
        <v>114</v>
      </c>
      <c r="F367" t="s">
        <v>56</v>
      </c>
      <c r="G367" t="s">
        <v>35</v>
      </c>
      <c r="H367" s="4">
        <v>1540.44</v>
      </c>
      <c r="I367">
        <v>2</v>
      </c>
      <c r="J367" s="5">
        <v>0</v>
      </c>
      <c r="K367">
        <v>250.67</v>
      </c>
      <c r="L367" t="s">
        <v>31</v>
      </c>
      <c r="M367" s="16">
        <f t="shared" si="5"/>
        <v>45901</v>
      </c>
    </row>
    <row r="368" spans="1:13" x14ac:dyDescent="0.3">
      <c r="A368" t="s">
        <v>538</v>
      </c>
      <c r="B368" s="3">
        <v>45924.98196392785</v>
      </c>
      <c r="C368" t="s">
        <v>164</v>
      </c>
      <c r="D368" t="s">
        <v>61</v>
      </c>
      <c r="E368" t="s">
        <v>62</v>
      </c>
      <c r="F368" t="s">
        <v>56</v>
      </c>
      <c r="G368" t="s">
        <v>35</v>
      </c>
      <c r="H368" s="4">
        <v>2917.18</v>
      </c>
      <c r="I368">
        <v>4</v>
      </c>
      <c r="J368" s="5">
        <v>0.05</v>
      </c>
      <c r="K368">
        <v>795.51</v>
      </c>
      <c r="L368" t="s">
        <v>31</v>
      </c>
      <c r="M368" s="16">
        <f t="shared" si="5"/>
        <v>45901</v>
      </c>
    </row>
    <row r="369" spans="1:13" x14ac:dyDescent="0.3">
      <c r="A369" t="s">
        <v>539</v>
      </c>
      <c r="B369" s="3">
        <v>45925.711422845678</v>
      </c>
      <c r="C369" t="s">
        <v>261</v>
      </c>
      <c r="D369" t="s">
        <v>54</v>
      </c>
      <c r="E369" t="s">
        <v>55</v>
      </c>
      <c r="F369" t="s">
        <v>75</v>
      </c>
      <c r="G369" t="s">
        <v>24</v>
      </c>
      <c r="H369" s="4">
        <v>33486.33</v>
      </c>
      <c r="I369">
        <v>4</v>
      </c>
      <c r="J369" s="5">
        <v>0</v>
      </c>
      <c r="K369">
        <v>3559.72</v>
      </c>
      <c r="L369" t="s">
        <v>68</v>
      </c>
      <c r="M369" s="16">
        <f t="shared" si="5"/>
        <v>45901</v>
      </c>
    </row>
    <row r="370" spans="1:13" x14ac:dyDescent="0.3">
      <c r="A370" t="s">
        <v>540</v>
      </c>
      <c r="B370" s="3">
        <v>45926.440881763519</v>
      </c>
      <c r="C370" t="s">
        <v>182</v>
      </c>
      <c r="D370" t="s">
        <v>73</v>
      </c>
      <c r="E370" t="s">
        <v>74</v>
      </c>
      <c r="F370" t="s">
        <v>34</v>
      </c>
      <c r="G370" t="s">
        <v>35</v>
      </c>
      <c r="H370" s="4">
        <v>1515.16</v>
      </c>
      <c r="I370">
        <v>1</v>
      </c>
      <c r="J370" s="5">
        <v>0.05</v>
      </c>
      <c r="K370">
        <v>126.53</v>
      </c>
      <c r="L370" t="s">
        <v>31</v>
      </c>
      <c r="M370" s="16">
        <f t="shared" si="5"/>
        <v>45901</v>
      </c>
    </row>
    <row r="371" spans="1:13" x14ac:dyDescent="0.3">
      <c r="A371" t="s">
        <v>541</v>
      </c>
      <c r="B371" s="3">
        <v>45927.170340681347</v>
      </c>
      <c r="C371" t="s">
        <v>432</v>
      </c>
      <c r="D371" t="s">
        <v>14</v>
      </c>
      <c r="E371" t="s">
        <v>15</v>
      </c>
      <c r="F371" t="s">
        <v>45</v>
      </c>
      <c r="G371" t="s">
        <v>46</v>
      </c>
      <c r="H371" s="4">
        <v>938.3</v>
      </c>
      <c r="I371">
        <v>4</v>
      </c>
      <c r="J371" s="5">
        <v>0.1</v>
      </c>
      <c r="K371">
        <v>181.67</v>
      </c>
      <c r="L371" t="s">
        <v>68</v>
      </c>
      <c r="M371" s="16">
        <f t="shared" si="5"/>
        <v>45901</v>
      </c>
    </row>
    <row r="372" spans="1:13" x14ac:dyDescent="0.3">
      <c r="A372" t="s">
        <v>542</v>
      </c>
      <c r="B372" s="3">
        <v>45927.899799599189</v>
      </c>
      <c r="C372" t="s">
        <v>131</v>
      </c>
      <c r="D372" t="s">
        <v>14</v>
      </c>
      <c r="E372" t="s">
        <v>15</v>
      </c>
      <c r="F372" t="s">
        <v>16</v>
      </c>
      <c r="G372" t="s">
        <v>17</v>
      </c>
      <c r="H372" s="4">
        <v>30597.7</v>
      </c>
      <c r="I372">
        <v>3</v>
      </c>
      <c r="J372" s="5">
        <v>0.15</v>
      </c>
      <c r="K372">
        <v>7240.63</v>
      </c>
      <c r="L372" t="s">
        <v>68</v>
      </c>
      <c r="M372" s="16">
        <f t="shared" si="5"/>
        <v>45901</v>
      </c>
    </row>
    <row r="373" spans="1:13" x14ac:dyDescent="0.3">
      <c r="A373" t="s">
        <v>543</v>
      </c>
      <c r="B373" s="3">
        <v>45928.629258517023</v>
      </c>
      <c r="C373" t="s">
        <v>247</v>
      </c>
      <c r="D373" t="s">
        <v>28</v>
      </c>
      <c r="E373" t="s">
        <v>29</v>
      </c>
      <c r="F373" t="s">
        <v>34</v>
      </c>
      <c r="G373" t="s">
        <v>35</v>
      </c>
      <c r="H373" s="4">
        <v>7256.54</v>
      </c>
      <c r="I373">
        <v>4</v>
      </c>
      <c r="J373" s="5">
        <v>0.1</v>
      </c>
      <c r="K373">
        <v>1940.95</v>
      </c>
      <c r="L373" t="s">
        <v>25</v>
      </c>
      <c r="M373" s="16">
        <f t="shared" si="5"/>
        <v>45901</v>
      </c>
    </row>
    <row r="374" spans="1:13" x14ac:dyDescent="0.3">
      <c r="A374" t="s">
        <v>544</v>
      </c>
      <c r="B374" s="3">
        <v>45929.358717434858</v>
      </c>
      <c r="C374" t="s">
        <v>282</v>
      </c>
      <c r="D374" t="s">
        <v>73</v>
      </c>
      <c r="E374" t="s">
        <v>74</v>
      </c>
      <c r="F374" t="s">
        <v>16</v>
      </c>
      <c r="G374" t="s">
        <v>17</v>
      </c>
      <c r="H374" s="4">
        <v>32117.75</v>
      </c>
      <c r="I374">
        <v>2</v>
      </c>
      <c r="J374" s="5">
        <v>0</v>
      </c>
      <c r="K374">
        <v>5978.64</v>
      </c>
      <c r="L374" t="s">
        <v>18</v>
      </c>
      <c r="M374" s="16">
        <f t="shared" si="5"/>
        <v>45901</v>
      </c>
    </row>
    <row r="375" spans="1:13" x14ac:dyDescent="0.3">
      <c r="A375" t="s">
        <v>545</v>
      </c>
      <c r="B375" s="3">
        <v>45930.0881763527</v>
      </c>
      <c r="C375" t="s">
        <v>236</v>
      </c>
      <c r="D375" t="s">
        <v>61</v>
      </c>
      <c r="E375" t="s">
        <v>62</v>
      </c>
      <c r="F375" t="s">
        <v>56</v>
      </c>
      <c r="G375" t="s">
        <v>35</v>
      </c>
      <c r="H375" s="4">
        <v>738.31</v>
      </c>
      <c r="I375">
        <v>1</v>
      </c>
      <c r="J375" s="5">
        <v>0.1</v>
      </c>
      <c r="K375">
        <v>150.58000000000001</v>
      </c>
      <c r="L375" t="s">
        <v>31</v>
      </c>
      <c r="M375" s="16">
        <f t="shared" si="5"/>
        <v>45901</v>
      </c>
    </row>
    <row r="376" spans="1:13" x14ac:dyDescent="0.3">
      <c r="A376" t="s">
        <v>546</v>
      </c>
      <c r="B376" s="3">
        <v>45930.817635270527</v>
      </c>
      <c r="C376" t="s">
        <v>103</v>
      </c>
      <c r="D376" t="s">
        <v>73</v>
      </c>
      <c r="E376" t="s">
        <v>74</v>
      </c>
      <c r="F376" t="s">
        <v>34</v>
      </c>
      <c r="G376" t="s">
        <v>35</v>
      </c>
      <c r="H376" s="4">
        <v>6716.67</v>
      </c>
      <c r="I376">
        <v>5</v>
      </c>
      <c r="J376" s="5">
        <v>0.2</v>
      </c>
      <c r="K376">
        <v>1245.6300000000001</v>
      </c>
      <c r="L376" t="s">
        <v>31</v>
      </c>
      <c r="M376" s="16">
        <f t="shared" si="5"/>
        <v>45901</v>
      </c>
    </row>
    <row r="377" spans="1:13" x14ac:dyDescent="0.3">
      <c r="A377" t="s">
        <v>547</v>
      </c>
      <c r="B377" s="3">
        <v>45931.547094188369</v>
      </c>
      <c r="C377" t="s">
        <v>516</v>
      </c>
      <c r="D377" t="s">
        <v>54</v>
      </c>
      <c r="E377" t="s">
        <v>55</v>
      </c>
      <c r="F377" t="s">
        <v>56</v>
      </c>
      <c r="G377" t="s">
        <v>35</v>
      </c>
      <c r="H377" s="4">
        <v>3641.92</v>
      </c>
      <c r="I377">
        <v>4</v>
      </c>
      <c r="J377" s="5">
        <v>0</v>
      </c>
      <c r="K377">
        <v>793.94</v>
      </c>
      <c r="L377" t="s">
        <v>51</v>
      </c>
      <c r="M377" s="16">
        <f t="shared" si="5"/>
        <v>45931</v>
      </c>
    </row>
    <row r="378" spans="1:13" x14ac:dyDescent="0.3">
      <c r="A378" t="s">
        <v>548</v>
      </c>
      <c r="B378" s="3">
        <v>45932.276553106203</v>
      </c>
      <c r="C378" t="s">
        <v>269</v>
      </c>
      <c r="D378" t="s">
        <v>114</v>
      </c>
      <c r="E378" t="s">
        <v>114</v>
      </c>
      <c r="F378" t="s">
        <v>16</v>
      </c>
      <c r="G378" t="s">
        <v>17</v>
      </c>
      <c r="H378" s="4">
        <v>51468.22</v>
      </c>
      <c r="I378">
        <v>4</v>
      </c>
      <c r="J378" s="5">
        <v>0</v>
      </c>
      <c r="K378">
        <v>8395.93</v>
      </c>
      <c r="L378" t="s">
        <v>68</v>
      </c>
      <c r="M378" s="16">
        <f t="shared" si="5"/>
        <v>45931</v>
      </c>
    </row>
    <row r="379" spans="1:13" x14ac:dyDescent="0.3">
      <c r="A379" t="s">
        <v>549</v>
      </c>
      <c r="B379" s="3">
        <v>45933.006012024038</v>
      </c>
      <c r="C379" t="s">
        <v>13</v>
      </c>
      <c r="D379" t="s">
        <v>73</v>
      </c>
      <c r="E379" t="s">
        <v>74</v>
      </c>
      <c r="F379" t="s">
        <v>106</v>
      </c>
      <c r="G379" t="s">
        <v>35</v>
      </c>
      <c r="H379" s="4">
        <v>7461.16</v>
      </c>
      <c r="I379">
        <v>5</v>
      </c>
      <c r="J379" s="5">
        <v>0.2</v>
      </c>
      <c r="K379">
        <v>1732.26</v>
      </c>
      <c r="L379" t="s">
        <v>68</v>
      </c>
      <c r="M379" s="16">
        <f t="shared" si="5"/>
        <v>45931</v>
      </c>
    </row>
    <row r="380" spans="1:13" x14ac:dyDescent="0.3">
      <c r="A380" t="s">
        <v>550</v>
      </c>
      <c r="B380" s="3">
        <v>45933.735470941872</v>
      </c>
      <c r="C380" t="s">
        <v>86</v>
      </c>
      <c r="D380" t="s">
        <v>49</v>
      </c>
      <c r="E380" t="s">
        <v>50</v>
      </c>
      <c r="F380" t="s">
        <v>63</v>
      </c>
      <c r="G380" t="s">
        <v>17</v>
      </c>
      <c r="H380" s="4">
        <v>80876.91</v>
      </c>
      <c r="I380">
        <v>5</v>
      </c>
      <c r="J380" s="5">
        <v>0.15</v>
      </c>
      <c r="K380">
        <v>22341.32</v>
      </c>
      <c r="L380" t="s">
        <v>31</v>
      </c>
      <c r="M380" s="16">
        <f t="shared" si="5"/>
        <v>45931</v>
      </c>
    </row>
    <row r="381" spans="1:13" x14ac:dyDescent="0.3">
      <c r="A381" t="s">
        <v>551</v>
      </c>
      <c r="B381" s="3">
        <v>45934.464929859707</v>
      </c>
      <c r="C381" t="s">
        <v>129</v>
      </c>
      <c r="D381" t="s">
        <v>54</v>
      </c>
      <c r="E381" t="s">
        <v>55</v>
      </c>
      <c r="F381" t="s">
        <v>40</v>
      </c>
      <c r="G381" t="s">
        <v>17</v>
      </c>
      <c r="H381" s="4">
        <v>10336.01</v>
      </c>
      <c r="I381">
        <v>4</v>
      </c>
      <c r="J381" s="5">
        <v>0.1</v>
      </c>
      <c r="K381">
        <v>2855.1</v>
      </c>
      <c r="L381" t="s">
        <v>31</v>
      </c>
      <c r="M381" s="16">
        <f t="shared" si="5"/>
        <v>45931</v>
      </c>
    </row>
    <row r="382" spans="1:13" x14ac:dyDescent="0.3">
      <c r="A382" t="s">
        <v>552</v>
      </c>
      <c r="B382" s="3">
        <v>45935.194388777549</v>
      </c>
      <c r="C382" t="s">
        <v>265</v>
      </c>
      <c r="D382" t="s">
        <v>43</v>
      </c>
      <c r="E382" t="s">
        <v>44</v>
      </c>
      <c r="F382" t="s">
        <v>40</v>
      </c>
      <c r="G382" t="s">
        <v>17</v>
      </c>
      <c r="H382" s="4">
        <v>5721.77</v>
      </c>
      <c r="I382">
        <v>2</v>
      </c>
      <c r="J382" s="5">
        <v>0</v>
      </c>
      <c r="K382">
        <v>1364.75</v>
      </c>
      <c r="L382" t="s">
        <v>31</v>
      </c>
      <c r="M382" s="16">
        <f t="shared" si="5"/>
        <v>45931</v>
      </c>
    </row>
    <row r="383" spans="1:13" x14ac:dyDescent="0.3">
      <c r="A383" t="s">
        <v>553</v>
      </c>
      <c r="B383" s="3">
        <v>45935.923847695383</v>
      </c>
      <c r="C383" t="s">
        <v>230</v>
      </c>
      <c r="D383" t="s">
        <v>21</v>
      </c>
      <c r="E383" t="s">
        <v>22</v>
      </c>
      <c r="F383" t="s">
        <v>34</v>
      </c>
      <c r="G383" t="s">
        <v>35</v>
      </c>
      <c r="H383" s="4">
        <v>8178.26</v>
      </c>
      <c r="I383">
        <v>5</v>
      </c>
      <c r="J383" s="5">
        <v>0.2</v>
      </c>
      <c r="K383">
        <v>1296.73</v>
      </c>
      <c r="L383" t="s">
        <v>25</v>
      </c>
      <c r="M383" s="16">
        <f t="shared" si="5"/>
        <v>45931</v>
      </c>
    </row>
    <row r="384" spans="1:13" x14ac:dyDescent="0.3">
      <c r="A384" t="s">
        <v>554</v>
      </c>
      <c r="B384" s="3">
        <v>45936.653306613218</v>
      </c>
      <c r="C384" t="s">
        <v>437</v>
      </c>
      <c r="D384" t="s">
        <v>90</v>
      </c>
      <c r="E384" t="s">
        <v>44</v>
      </c>
      <c r="F384" t="s">
        <v>34</v>
      </c>
      <c r="G384" t="s">
        <v>35</v>
      </c>
      <c r="H384" s="4">
        <v>1456.07</v>
      </c>
      <c r="I384">
        <v>1</v>
      </c>
      <c r="J384" s="5">
        <v>0.1</v>
      </c>
      <c r="K384">
        <v>341.19</v>
      </c>
      <c r="L384" t="s">
        <v>68</v>
      </c>
      <c r="M384" s="16">
        <f t="shared" si="5"/>
        <v>45931</v>
      </c>
    </row>
    <row r="385" spans="1:13" x14ac:dyDescent="0.3">
      <c r="A385" t="s">
        <v>555</v>
      </c>
      <c r="B385" s="3">
        <v>45937.382765531052</v>
      </c>
      <c r="C385" t="s">
        <v>224</v>
      </c>
      <c r="D385" t="s">
        <v>73</v>
      </c>
      <c r="E385" t="s">
        <v>74</v>
      </c>
      <c r="F385" t="s">
        <v>16</v>
      </c>
      <c r="G385" t="s">
        <v>17</v>
      </c>
      <c r="H385" s="4">
        <v>60675.03</v>
      </c>
      <c r="I385">
        <v>5</v>
      </c>
      <c r="J385" s="5">
        <v>0.1</v>
      </c>
      <c r="K385">
        <v>14619.69</v>
      </c>
      <c r="L385" t="s">
        <v>51</v>
      </c>
      <c r="M385" s="16">
        <f t="shared" si="5"/>
        <v>45931</v>
      </c>
    </row>
    <row r="386" spans="1:13" x14ac:dyDescent="0.3">
      <c r="A386" t="s">
        <v>556</v>
      </c>
      <c r="B386" s="3">
        <v>45938.112224448887</v>
      </c>
      <c r="C386" t="s">
        <v>81</v>
      </c>
      <c r="D386" t="s">
        <v>61</v>
      </c>
      <c r="E386" t="s">
        <v>62</v>
      </c>
      <c r="F386" t="s">
        <v>23</v>
      </c>
      <c r="G386" t="s">
        <v>24</v>
      </c>
      <c r="H386" s="4">
        <v>20489.86</v>
      </c>
      <c r="I386">
        <v>2</v>
      </c>
      <c r="J386" s="5">
        <v>0.15</v>
      </c>
      <c r="K386">
        <v>2679.34</v>
      </c>
      <c r="L386" t="s">
        <v>68</v>
      </c>
      <c r="M386" s="16">
        <f t="shared" ref="M386:M449" si="6">DATE(YEAR(B386),MONTH(B386),1)</f>
        <v>45931</v>
      </c>
    </row>
    <row r="387" spans="1:13" x14ac:dyDescent="0.3">
      <c r="A387" t="s">
        <v>557</v>
      </c>
      <c r="B387" s="3">
        <v>45938.841683366722</v>
      </c>
      <c r="C387" t="s">
        <v>156</v>
      </c>
      <c r="D387" t="s">
        <v>71</v>
      </c>
      <c r="E387" t="s">
        <v>55</v>
      </c>
      <c r="F387" t="s">
        <v>63</v>
      </c>
      <c r="G387" t="s">
        <v>17</v>
      </c>
      <c r="H387" s="4">
        <v>74811.69</v>
      </c>
      <c r="I387">
        <v>5</v>
      </c>
      <c r="J387" s="5">
        <v>0.2</v>
      </c>
      <c r="K387">
        <v>8286.25</v>
      </c>
      <c r="L387" t="s">
        <v>18</v>
      </c>
      <c r="M387" s="16">
        <f t="shared" si="6"/>
        <v>45931</v>
      </c>
    </row>
    <row r="388" spans="1:13" x14ac:dyDescent="0.3">
      <c r="A388" t="s">
        <v>558</v>
      </c>
      <c r="B388" s="3">
        <v>45939.571142284563</v>
      </c>
      <c r="C388" t="s">
        <v>493</v>
      </c>
      <c r="D388" t="s">
        <v>90</v>
      </c>
      <c r="E388" t="s">
        <v>44</v>
      </c>
      <c r="F388" t="s">
        <v>94</v>
      </c>
      <c r="G388" t="s">
        <v>46</v>
      </c>
      <c r="H388" s="4">
        <v>67126.37</v>
      </c>
      <c r="I388">
        <v>5</v>
      </c>
      <c r="J388" s="5">
        <v>0.1</v>
      </c>
      <c r="K388">
        <v>6588.07</v>
      </c>
      <c r="L388" t="s">
        <v>31</v>
      </c>
      <c r="M388" s="16">
        <f t="shared" si="6"/>
        <v>45931</v>
      </c>
    </row>
    <row r="389" spans="1:13" x14ac:dyDescent="0.3">
      <c r="A389" t="s">
        <v>559</v>
      </c>
      <c r="B389" s="3">
        <v>45940.300601202398</v>
      </c>
      <c r="C389" t="s">
        <v>354</v>
      </c>
      <c r="D389" t="s">
        <v>14</v>
      </c>
      <c r="E389" t="s">
        <v>15</v>
      </c>
      <c r="F389" t="s">
        <v>34</v>
      </c>
      <c r="G389" t="s">
        <v>35</v>
      </c>
      <c r="H389" s="4">
        <v>2928.84</v>
      </c>
      <c r="I389">
        <v>2</v>
      </c>
      <c r="J389" s="5">
        <v>0.15</v>
      </c>
      <c r="K389">
        <v>381.34</v>
      </c>
      <c r="L389" t="s">
        <v>18</v>
      </c>
      <c r="M389" s="16">
        <f t="shared" si="6"/>
        <v>45931</v>
      </c>
    </row>
    <row r="390" spans="1:13" x14ac:dyDescent="0.3">
      <c r="A390" t="s">
        <v>560</v>
      </c>
      <c r="B390" s="3">
        <v>45941.030060120233</v>
      </c>
      <c r="C390" t="s">
        <v>77</v>
      </c>
      <c r="D390" t="s">
        <v>43</v>
      </c>
      <c r="E390" t="s">
        <v>44</v>
      </c>
      <c r="F390" t="s">
        <v>16</v>
      </c>
      <c r="G390" t="s">
        <v>17</v>
      </c>
      <c r="H390" s="4">
        <v>12909.68</v>
      </c>
      <c r="I390">
        <v>1</v>
      </c>
      <c r="J390" s="5">
        <v>0</v>
      </c>
      <c r="K390">
        <v>3403.61</v>
      </c>
      <c r="L390" t="s">
        <v>51</v>
      </c>
      <c r="M390" s="16">
        <f t="shared" si="6"/>
        <v>45931</v>
      </c>
    </row>
    <row r="391" spans="1:13" x14ac:dyDescent="0.3">
      <c r="A391" t="s">
        <v>561</v>
      </c>
      <c r="B391" s="3">
        <v>45941.759519038067</v>
      </c>
      <c r="C391" t="s">
        <v>20</v>
      </c>
      <c r="D391" t="s">
        <v>21</v>
      </c>
      <c r="E391" t="s">
        <v>22</v>
      </c>
      <c r="F391" t="s">
        <v>34</v>
      </c>
      <c r="G391" t="s">
        <v>35</v>
      </c>
      <c r="H391" s="4">
        <v>1551.02</v>
      </c>
      <c r="I391">
        <v>1</v>
      </c>
      <c r="J391" s="5">
        <v>0</v>
      </c>
      <c r="K391">
        <v>178.44</v>
      </c>
      <c r="L391" t="s">
        <v>68</v>
      </c>
      <c r="M391" s="16">
        <f t="shared" si="6"/>
        <v>45931</v>
      </c>
    </row>
    <row r="392" spans="1:13" x14ac:dyDescent="0.3">
      <c r="A392" t="s">
        <v>562</v>
      </c>
      <c r="B392" s="3">
        <v>45942.488977955902</v>
      </c>
      <c r="C392" t="s">
        <v>164</v>
      </c>
      <c r="D392" t="s">
        <v>38</v>
      </c>
      <c r="E392" t="s">
        <v>39</v>
      </c>
      <c r="F392" t="s">
        <v>16</v>
      </c>
      <c r="G392" t="s">
        <v>17</v>
      </c>
      <c r="H392" s="4">
        <v>67142.12</v>
      </c>
      <c r="I392">
        <v>5</v>
      </c>
      <c r="J392" s="5">
        <v>0.1</v>
      </c>
      <c r="K392">
        <v>11112.05</v>
      </c>
      <c r="L392" t="s">
        <v>18</v>
      </c>
      <c r="M392" s="16">
        <f t="shared" si="6"/>
        <v>45931</v>
      </c>
    </row>
    <row r="393" spans="1:13" x14ac:dyDescent="0.3">
      <c r="A393" t="s">
        <v>563</v>
      </c>
      <c r="B393" s="3">
        <v>45943.218436873743</v>
      </c>
      <c r="C393" t="s">
        <v>401</v>
      </c>
      <c r="D393" t="s">
        <v>71</v>
      </c>
      <c r="E393" t="s">
        <v>55</v>
      </c>
      <c r="F393" t="s">
        <v>63</v>
      </c>
      <c r="G393" t="s">
        <v>17</v>
      </c>
      <c r="H393" s="4">
        <v>46722.68</v>
      </c>
      <c r="I393">
        <v>2</v>
      </c>
      <c r="J393" s="5">
        <v>0.05</v>
      </c>
      <c r="K393">
        <v>11029.97</v>
      </c>
      <c r="L393" t="s">
        <v>51</v>
      </c>
      <c r="M393" s="16">
        <f t="shared" si="6"/>
        <v>45931</v>
      </c>
    </row>
    <row r="394" spans="1:13" x14ac:dyDescent="0.3">
      <c r="A394" t="s">
        <v>564</v>
      </c>
      <c r="B394" s="3">
        <v>45943.947895791571</v>
      </c>
      <c r="C394" t="s">
        <v>395</v>
      </c>
      <c r="D394" t="s">
        <v>54</v>
      </c>
      <c r="E394" t="s">
        <v>55</v>
      </c>
      <c r="F394" t="s">
        <v>23</v>
      </c>
      <c r="G394" t="s">
        <v>24</v>
      </c>
      <c r="H394" s="4">
        <v>10138.049999999999</v>
      </c>
      <c r="I394">
        <v>1</v>
      </c>
      <c r="J394" s="5">
        <v>0.1</v>
      </c>
      <c r="K394">
        <v>877.57</v>
      </c>
      <c r="L394" t="s">
        <v>51</v>
      </c>
      <c r="M394" s="16">
        <f t="shared" si="6"/>
        <v>45931</v>
      </c>
    </row>
    <row r="395" spans="1:13" x14ac:dyDescent="0.3">
      <c r="A395" t="s">
        <v>565</v>
      </c>
      <c r="B395" s="3">
        <v>45944.677354709413</v>
      </c>
      <c r="C395" t="s">
        <v>282</v>
      </c>
      <c r="D395" t="s">
        <v>71</v>
      </c>
      <c r="E395" t="s">
        <v>55</v>
      </c>
      <c r="F395" t="s">
        <v>106</v>
      </c>
      <c r="G395" t="s">
        <v>35</v>
      </c>
      <c r="H395" s="4">
        <v>1488.42</v>
      </c>
      <c r="I395">
        <v>1</v>
      </c>
      <c r="J395" s="5">
        <v>0.15</v>
      </c>
      <c r="K395">
        <v>367.89</v>
      </c>
      <c r="L395" t="s">
        <v>68</v>
      </c>
      <c r="M395" s="16">
        <f t="shared" si="6"/>
        <v>45931</v>
      </c>
    </row>
    <row r="396" spans="1:13" x14ac:dyDescent="0.3">
      <c r="A396" t="s">
        <v>566</v>
      </c>
      <c r="B396" s="3">
        <v>45945.406813627247</v>
      </c>
      <c r="C396" t="s">
        <v>224</v>
      </c>
      <c r="D396" t="s">
        <v>49</v>
      </c>
      <c r="E396" t="s">
        <v>50</v>
      </c>
      <c r="F396" t="s">
        <v>23</v>
      </c>
      <c r="G396" t="s">
        <v>24</v>
      </c>
      <c r="H396" s="4">
        <v>23704.62</v>
      </c>
      <c r="I396">
        <v>2</v>
      </c>
      <c r="J396" s="5">
        <v>0.1</v>
      </c>
      <c r="K396">
        <v>4092.81</v>
      </c>
      <c r="L396" t="s">
        <v>25</v>
      </c>
      <c r="M396" s="16">
        <f t="shared" si="6"/>
        <v>45931</v>
      </c>
    </row>
    <row r="397" spans="1:13" x14ac:dyDescent="0.3">
      <c r="A397" t="s">
        <v>567</v>
      </c>
      <c r="B397" s="3">
        <v>45946.136272545082</v>
      </c>
      <c r="C397" t="s">
        <v>48</v>
      </c>
      <c r="D397" t="s">
        <v>14</v>
      </c>
      <c r="E397" t="s">
        <v>15</v>
      </c>
      <c r="F397" t="s">
        <v>106</v>
      </c>
      <c r="G397" t="s">
        <v>35</v>
      </c>
      <c r="H397" s="4">
        <v>9716.98</v>
      </c>
      <c r="I397">
        <v>5</v>
      </c>
      <c r="J397" s="5">
        <v>0</v>
      </c>
      <c r="K397">
        <v>1586.91</v>
      </c>
      <c r="L397" t="s">
        <v>68</v>
      </c>
      <c r="M397" s="16">
        <f t="shared" si="6"/>
        <v>45931</v>
      </c>
    </row>
    <row r="398" spans="1:13" x14ac:dyDescent="0.3">
      <c r="A398" t="s">
        <v>568</v>
      </c>
      <c r="B398" s="3">
        <v>45946.865731462924</v>
      </c>
      <c r="C398" t="s">
        <v>205</v>
      </c>
      <c r="D398" t="s">
        <v>38</v>
      </c>
      <c r="E398" t="s">
        <v>39</v>
      </c>
      <c r="F398" t="s">
        <v>45</v>
      </c>
      <c r="G398" t="s">
        <v>46</v>
      </c>
      <c r="H398" s="4">
        <v>1176.48</v>
      </c>
      <c r="I398">
        <v>5</v>
      </c>
      <c r="J398" s="5">
        <v>0</v>
      </c>
      <c r="K398">
        <v>94.47</v>
      </c>
      <c r="L398" t="s">
        <v>18</v>
      </c>
      <c r="M398" s="16">
        <f t="shared" si="6"/>
        <v>45931</v>
      </c>
    </row>
    <row r="399" spans="1:13" x14ac:dyDescent="0.3">
      <c r="A399" t="s">
        <v>569</v>
      </c>
      <c r="B399" s="3">
        <v>45947.595190380751</v>
      </c>
      <c r="C399" t="s">
        <v>182</v>
      </c>
      <c r="D399" t="s">
        <v>54</v>
      </c>
      <c r="E399" t="s">
        <v>55</v>
      </c>
      <c r="F399" t="s">
        <v>94</v>
      </c>
      <c r="G399" t="s">
        <v>46</v>
      </c>
      <c r="H399" s="4">
        <v>72746.14</v>
      </c>
      <c r="I399">
        <v>5</v>
      </c>
      <c r="J399" s="5">
        <v>0.1</v>
      </c>
      <c r="K399">
        <v>18856.39</v>
      </c>
      <c r="L399" t="s">
        <v>18</v>
      </c>
      <c r="M399" s="16">
        <f t="shared" si="6"/>
        <v>45931</v>
      </c>
    </row>
    <row r="400" spans="1:13" x14ac:dyDescent="0.3">
      <c r="A400" t="s">
        <v>570</v>
      </c>
      <c r="B400" s="3">
        <v>45948.324649298593</v>
      </c>
      <c r="C400" t="s">
        <v>210</v>
      </c>
      <c r="D400" t="s">
        <v>71</v>
      </c>
      <c r="E400" t="s">
        <v>55</v>
      </c>
      <c r="F400" t="s">
        <v>94</v>
      </c>
      <c r="G400" t="s">
        <v>46</v>
      </c>
      <c r="H400" s="4">
        <v>49156.65</v>
      </c>
      <c r="I400">
        <v>3</v>
      </c>
      <c r="J400" s="5">
        <v>0.05</v>
      </c>
      <c r="K400">
        <v>6100.23</v>
      </c>
      <c r="L400" t="s">
        <v>68</v>
      </c>
      <c r="M400" s="16">
        <f t="shared" si="6"/>
        <v>45931</v>
      </c>
    </row>
    <row r="401" spans="1:13" x14ac:dyDescent="0.3">
      <c r="A401" t="s">
        <v>571</v>
      </c>
      <c r="B401" s="3">
        <v>45949.05410821642</v>
      </c>
      <c r="C401" t="s">
        <v>417</v>
      </c>
      <c r="D401" t="s">
        <v>49</v>
      </c>
      <c r="E401" t="s">
        <v>50</v>
      </c>
      <c r="F401" t="s">
        <v>87</v>
      </c>
      <c r="G401" t="s">
        <v>17</v>
      </c>
      <c r="H401" s="4">
        <v>136651.31</v>
      </c>
      <c r="I401">
        <v>3</v>
      </c>
      <c r="J401" s="5">
        <v>0.15</v>
      </c>
      <c r="K401">
        <v>11497.06</v>
      </c>
      <c r="L401" t="s">
        <v>31</v>
      </c>
      <c r="M401" s="16">
        <f t="shared" si="6"/>
        <v>45931</v>
      </c>
    </row>
    <row r="402" spans="1:13" x14ac:dyDescent="0.3">
      <c r="A402" t="s">
        <v>572</v>
      </c>
      <c r="B402" s="3">
        <v>45949.783567134262</v>
      </c>
      <c r="C402" t="s">
        <v>65</v>
      </c>
      <c r="D402" t="s">
        <v>21</v>
      </c>
      <c r="E402" t="s">
        <v>22</v>
      </c>
      <c r="F402" t="s">
        <v>45</v>
      </c>
      <c r="G402" t="s">
        <v>46</v>
      </c>
      <c r="H402" s="4">
        <v>191.7</v>
      </c>
      <c r="I402">
        <v>1</v>
      </c>
      <c r="J402" s="5">
        <v>0.2</v>
      </c>
      <c r="K402">
        <v>39.57</v>
      </c>
      <c r="L402" t="s">
        <v>68</v>
      </c>
      <c r="M402" s="16">
        <f t="shared" si="6"/>
        <v>45931</v>
      </c>
    </row>
    <row r="403" spans="1:13" x14ac:dyDescent="0.3">
      <c r="A403" t="s">
        <v>573</v>
      </c>
      <c r="B403" s="3">
        <v>45950.513026052096</v>
      </c>
      <c r="C403" t="s">
        <v>424</v>
      </c>
      <c r="D403" t="s">
        <v>28</v>
      </c>
      <c r="E403" t="s">
        <v>29</v>
      </c>
      <c r="F403" t="s">
        <v>87</v>
      </c>
      <c r="G403" t="s">
        <v>17</v>
      </c>
      <c r="H403" s="4">
        <v>58440.08</v>
      </c>
      <c r="I403">
        <v>1</v>
      </c>
      <c r="J403" s="5">
        <v>0</v>
      </c>
      <c r="K403">
        <v>16040.87</v>
      </c>
      <c r="L403" t="s">
        <v>18</v>
      </c>
      <c r="M403" s="16">
        <f t="shared" si="6"/>
        <v>45931</v>
      </c>
    </row>
    <row r="404" spans="1:13" x14ac:dyDescent="0.3">
      <c r="A404" t="s">
        <v>574</v>
      </c>
      <c r="B404" s="3">
        <v>45951.242484969931</v>
      </c>
      <c r="C404" t="s">
        <v>81</v>
      </c>
      <c r="D404" t="s">
        <v>28</v>
      </c>
      <c r="E404" t="s">
        <v>29</v>
      </c>
      <c r="F404" t="s">
        <v>87</v>
      </c>
      <c r="G404" t="s">
        <v>17</v>
      </c>
      <c r="H404" s="4">
        <v>99922.92</v>
      </c>
      <c r="I404">
        <v>2</v>
      </c>
      <c r="J404" s="5">
        <v>0.15</v>
      </c>
      <c r="K404">
        <v>13471.04</v>
      </c>
      <c r="L404" t="s">
        <v>68</v>
      </c>
      <c r="M404" s="16">
        <f t="shared" si="6"/>
        <v>45931</v>
      </c>
    </row>
    <row r="405" spans="1:13" x14ac:dyDescent="0.3">
      <c r="A405" t="s">
        <v>575</v>
      </c>
      <c r="B405" s="3">
        <v>45951.971943887773</v>
      </c>
      <c r="C405" t="s">
        <v>42</v>
      </c>
      <c r="D405" t="s">
        <v>38</v>
      </c>
      <c r="E405" t="s">
        <v>39</v>
      </c>
      <c r="F405" t="s">
        <v>56</v>
      </c>
      <c r="G405" t="s">
        <v>35</v>
      </c>
      <c r="H405" s="4">
        <v>3499.29</v>
      </c>
      <c r="I405">
        <v>4</v>
      </c>
      <c r="J405" s="5">
        <v>0.15</v>
      </c>
      <c r="K405">
        <v>770.66</v>
      </c>
      <c r="L405" t="s">
        <v>31</v>
      </c>
      <c r="M405" s="16">
        <f t="shared" si="6"/>
        <v>45931</v>
      </c>
    </row>
    <row r="406" spans="1:13" x14ac:dyDescent="0.3">
      <c r="A406" t="s">
        <v>576</v>
      </c>
      <c r="B406" s="3">
        <v>45952.7014028056</v>
      </c>
      <c r="C406" t="s">
        <v>356</v>
      </c>
      <c r="D406" t="s">
        <v>90</v>
      </c>
      <c r="E406" t="s">
        <v>44</v>
      </c>
      <c r="F406" t="s">
        <v>40</v>
      </c>
      <c r="G406" t="s">
        <v>17</v>
      </c>
      <c r="H406" s="4">
        <v>3820.37</v>
      </c>
      <c r="I406">
        <v>2</v>
      </c>
      <c r="J406" s="5">
        <v>0.15</v>
      </c>
      <c r="K406">
        <v>866.8</v>
      </c>
      <c r="L406" t="s">
        <v>18</v>
      </c>
      <c r="M406" s="16">
        <f t="shared" si="6"/>
        <v>45931</v>
      </c>
    </row>
    <row r="407" spans="1:13" x14ac:dyDescent="0.3">
      <c r="A407" t="s">
        <v>577</v>
      </c>
      <c r="B407" s="3">
        <v>45953.430861723427</v>
      </c>
      <c r="C407" t="s">
        <v>126</v>
      </c>
      <c r="D407" t="s">
        <v>21</v>
      </c>
      <c r="E407" t="s">
        <v>22</v>
      </c>
      <c r="F407" t="s">
        <v>16</v>
      </c>
      <c r="G407" t="s">
        <v>17</v>
      </c>
      <c r="H407" s="4">
        <v>32259.48</v>
      </c>
      <c r="I407">
        <v>3</v>
      </c>
      <c r="J407" s="5">
        <v>0.1</v>
      </c>
      <c r="K407">
        <v>8840.76</v>
      </c>
      <c r="L407" t="s">
        <v>18</v>
      </c>
      <c r="M407" s="16">
        <f t="shared" si="6"/>
        <v>45931</v>
      </c>
    </row>
    <row r="408" spans="1:13" x14ac:dyDescent="0.3">
      <c r="A408" t="s">
        <v>578</v>
      </c>
      <c r="B408" s="3">
        <v>45954.160320641276</v>
      </c>
      <c r="C408" t="s">
        <v>110</v>
      </c>
      <c r="D408" t="s">
        <v>71</v>
      </c>
      <c r="E408" t="s">
        <v>55</v>
      </c>
      <c r="F408" t="s">
        <v>56</v>
      </c>
      <c r="G408" t="s">
        <v>35</v>
      </c>
      <c r="H408" s="4">
        <v>818.33</v>
      </c>
      <c r="I408">
        <v>1</v>
      </c>
      <c r="J408" s="5">
        <v>0.1</v>
      </c>
      <c r="K408">
        <v>135.78</v>
      </c>
      <c r="L408" t="s">
        <v>68</v>
      </c>
      <c r="M408" s="16">
        <f t="shared" si="6"/>
        <v>45931</v>
      </c>
    </row>
    <row r="409" spans="1:13" x14ac:dyDescent="0.3">
      <c r="A409" t="s">
        <v>579</v>
      </c>
      <c r="B409" s="3">
        <v>45954.889779559111</v>
      </c>
      <c r="C409" t="s">
        <v>77</v>
      </c>
      <c r="D409" t="s">
        <v>71</v>
      </c>
      <c r="E409" t="s">
        <v>55</v>
      </c>
      <c r="F409" t="s">
        <v>40</v>
      </c>
      <c r="G409" t="s">
        <v>17</v>
      </c>
      <c r="H409" s="4">
        <v>7803.15</v>
      </c>
      <c r="I409">
        <v>4</v>
      </c>
      <c r="J409" s="5">
        <v>0.15</v>
      </c>
      <c r="K409">
        <v>1886.47</v>
      </c>
      <c r="L409" t="s">
        <v>51</v>
      </c>
      <c r="M409" s="16">
        <f t="shared" si="6"/>
        <v>45931</v>
      </c>
    </row>
    <row r="410" spans="1:13" x14ac:dyDescent="0.3">
      <c r="A410" t="s">
        <v>580</v>
      </c>
      <c r="B410" s="3">
        <v>45955.619238476953</v>
      </c>
      <c r="C410" t="s">
        <v>133</v>
      </c>
      <c r="D410" t="s">
        <v>49</v>
      </c>
      <c r="E410" t="s">
        <v>50</v>
      </c>
      <c r="F410" t="s">
        <v>56</v>
      </c>
      <c r="G410" t="s">
        <v>35</v>
      </c>
      <c r="H410" s="4">
        <v>2701.23</v>
      </c>
      <c r="I410">
        <v>3</v>
      </c>
      <c r="J410" s="5">
        <v>0</v>
      </c>
      <c r="K410">
        <v>385.12</v>
      </c>
      <c r="L410" t="s">
        <v>51</v>
      </c>
      <c r="M410" s="16">
        <f t="shared" si="6"/>
        <v>45931</v>
      </c>
    </row>
    <row r="411" spans="1:13" x14ac:dyDescent="0.3">
      <c r="A411" t="s">
        <v>581</v>
      </c>
      <c r="B411" s="3">
        <v>45956.34869739478</v>
      </c>
      <c r="C411" t="s">
        <v>108</v>
      </c>
      <c r="D411" t="s">
        <v>14</v>
      </c>
      <c r="E411" t="s">
        <v>15</v>
      </c>
      <c r="F411" t="s">
        <v>40</v>
      </c>
      <c r="G411" t="s">
        <v>17</v>
      </c>
      <c r="H411" s="4">
        <v>5762.12</v>
      </c>
      <c r="I411">
        <v>3</v>
      </c>
      <c r="J411" s="5">
        <v>0.1</v>
      </c>
      <c r="K411">
        <v>520.71</v>
      </c>
      <c r="L411" t="s">
        <v>18</v>
      </c>
      <c r="M411" s="16">
        <f t="shared" si="6"/>
        <v>45931</v>
      </c>
    </row>
    <row r="412" spans="1:13" x14ac:dyDescent="0.3">
      <c r="A412" t="s">
        <v>582</v>
      </c>
      <c r="B412" s="3">
        <v>45957.078156312607</v>
      </c>
      <c r="C412" t="s">
        <v>110</v>
      </c>
      <c r="D412" t="s">
        <v>114</v>
      </c>
      <c r="E412" t="s">
        <v>114</v>
      </c>
      <c r="F412" t="s">
        <v>34</v>
      </c>
      <c r="G412" t="s">
        <v>35</v>
      </c>
      <c r="H412" s="4">
        <v>7088.89</v>
      </c>
      <c r="I412">
        <v>4</v>
      </c>
      <c r="J412" s="5">
        <v>0.05</v>
      </c>
      <c r="K412">
        <v>1605.92</v>
      </c>
      <c r="L412" t="s">
        <v>18</v>
      </c>
      <c r="M412" s="16">
        <f t="shared" si="6"/>
        <v>45931</v>
      </c>
    </row>
    <row r="413" spans="1:13" x14ac:dyDescent="0.3">
      <c r="A413" t="s">
        <v>583</v>
      </c>
      <c r="B413" s="3">
        <v>45957.807615230449</v>
      </c>
      <c r="C413" t="s">
        <v>126</v>
      </c>
      <c r="D413" t="s">
        <v>90</v>
      </c>
      <c r="E413" t="s">
        <v>44</v>
      </c>
      <c r="F413" t="s">
        <v>30</v>
      </c>
      <c r="G413" t="s">
        <v>17</v>
      </c>
      <c r="H413" s="4">
        <v>30085.54</v>
      </c>
      <c r="I413">
        <v>1</v>
      </c>
      <c r="J413" s="5">
        <v>0.05</v>
      </c>
      <c r="K413">
        <v>2747.33</v>
      </c>
      <c r="L413" t="s">
        <v>31</v>
      </c>
      <c r="M413" s="16">
        <f t="shared" si="6"/>
        <v>45931</v>
      </c>
    </row>
    <row r="414" spans="1:13" x14ac:dyDescent="0.3">
      <c r="A414" t="s">
        <v>584</v>
      </c>
      <c r="B414" s="3">
        <v>45958.537074148277</v>
      </c>
      <c r="C414" t="s">
        <v>424</v>
      </c>
      <c r="D414" t="s">
        <v>54</v>
      </c>
      <c r="E414" t="s">
        <v>55</v>
      </c>
      <c r="F414" t="s">
        <v>56</v>
      </c>
      <c r="G414" t="s">
        <v>35</v>
      </c>
      <c r="H414" s="4">
        <v>2637.96</v>
      </c>
      <c r="I414">
        <v>3</v>
      </c>
      <c r="J414" s="5">
        <v>0.1</v>
      </c>
      <c r="K414">
        <v>733.54</v>
      </c>
      <c r="L414" t="s">
        <v>51</v>
      </c>
      <c r="M414" s="16">
        <f t="shared" si="6"/>
        <v>45931</v>
      </c>
    </row>
    <row r="415" spans="1:13" x14ac:dyDescent="0.3">
      <c r="A415" t="s">
        <v>585</v>
      </c>
      <c r="B415" s="3">
        <v>45959.266533066133</v>
      </c>
      <c r="C415" t="s">
        <v>421</v>
      </c>
      <c r="D415" t="s">
        <v>38</v>
      </c>
      <c r="E415" t="s">
        <v>39</v>
      </c>
      <c r="F415" t="s">
        <v>94</v>
      </c>
      <c r="G415" t="s">
        <v>46</v>
      </c>
      <c r="H415" s="4">
        <v>23640.84</v>
      </c>
      <c r="I415">
        <v>2</v>
      </c>
      <c r="J415" s="5">
        <v>0.2</v>
      </c>
      <c r="K415">
        <v>2378.84</v>
      </c>
      <c r="L415" t="s">
        <v>25</v>
      </c>
      <c r="M415" s="16">
        <f t="shared" si="6"/>
        <v>45931</v>
      </c>
    </row>
    <row r="416" spans="1:13" x14ac:dyDescent="0.3">
      <c r="A416" t="s">
        <v>586</v>
      </c>
      <c r="B416" s="3">
        <v>45959.99599198396</v>
      </c>
      <c r="C416" t="s">
        <v>42</v>
      </c>
      <c r="D416" t="s">
        <v>38</v>
      </c>
      <c r="E416" t="s">
        <v>39</v>
      </c>
      <c r="F416" t="s">
        <v>106</v>
      </c>
      <c r="G416" t="s">
        <v>35</v>
      </c>
      <c r="H416" s="4">
        <v>3629.87</v>
      </c>
      <c r="I416">
        <v>2</v>
      </c>
      <c r="J416" s="5">
        <v>0.05</v>
      </c>
      <c r="K416">
        <v>541.96</v>
      </c>
      <c r="L416" t="s">
        <v>18</v>
      </c>
      <c r="M416" s="16">
        <f t="shared" si="6"/>
        <v>45931</v>
      </c>
    </row>
    <row r="417" spans="1:13" x14ac:dyDescent="0.3">
      <c r="A417" t="s">
        <v>587</v>
      </c>
      <c r="B417" s="3">
        <v>45960.725450901788</v>
      </c>
      <c r="C417" t="s">
        <v>124</v>
      </c>
      <c r="D417" t="s">
        <v>71</v>
      </c>
      <c r="E417" t="s">
        <v>55</v>
      </c>
      <c r="F417" t="s">
        <v>45</v>
      </c>
      <c r="G417" t="s">
        <v>46</v>
      </c>
      <c r="H417" s="4">
        <v>472.59</v>
      </c>
      <c r="I417">
        <v>2</v>
      </c>
      <c r="J417" s="5">
        <v>0.05</v>
      </c>
      <c r="K417">
        <v>64.98</v>
      </c>
      <c r="L417" t="s">
        <v>51</v>
      </c>
      <c r="M417" s="16">
        <f t="shared" si="6"/>
        <v>45931</v>
      </c>
    </row>
    <row r="418" spans="1:13" x14ac:dyDescent="0.3">
      <c r="A418" t="s">
        <v>588</v>
      </c>
      <c r="B418" s="3">
        <v>45961.454909819629</v>
      </c>
      <c r="C418" t="s">
        <v>79</v>
      </c>
      <c r="D418" t="s">
        <v>21</v>
      </c>
      <c r="E418" t="s">
        <v>22</v>
      </c>
      <c r="F418" t="s">
        <v>75</v>
      </c>
      <c r="G418" t="s">
        <v>24</v>
      </c>
      <c r="H418" s="4">
        <v>18849.78</v>
      </c>
      <c r="I418">
        <v>3</v>
      </c>
      <c r="J418" s="5">
        <v>0.2</v>
      </c>
      <c r="K418">
        <v>2628.76</v>
      </c>
      <c r="L418" t="s">
        <v>25</v>
      </c>
      <c r="M418" s="16">
        <f t="shared" si="6"/>
        <v>45931</v>
      </c>
    </row>
    <row r="419" spans="1:13" x14ac:dyDescent="0.3">
      <c r="A419" t="s">
        <v>589</v>
      </c>
      <c r="B419" s="3">
        <v>45962.184368737457</v>
      </c>
      <c r="C419" t="s">
        <v>162</v>
      </c>
      <c r="D419" t="s">
        <v>71</v>
      </c>
      <c r="E419" t="s">
        <v>55</v>
      </c>
      <c r="F419" t="s">
        <v>16</v>
      </c>
      <c r="G419" t="s">
        <v>17</v>
      </c>
      <c r="H419" s="4">
        <v>41677.599999999999</v>
      </c>
      <c r="I419">
        <v>3</v>
      </c>
      <c r="J419" s="5">
        <v>0.05</v>
      </c>
      <c r="K419">
        <v>3460.16</v>
      </c>
      <c r="L419" t="s">
        <v>18</v>
      </c>
      <c r="M419" s="16">
        <f t="shared" si="6"/>
        <v>45962</v>
      </c>
    </row>
    <row r="420" spans="1:13" x14ac:dyDescent="0.3">
      <c r="A420" t="s">
        <v>590</v>
      </c>
      <c r="B420" s="3">
        <v>45962.913827655299</v>
      </c>
      <c r="C420" t="s">
        <v>265</v>
      </c>
      <c r="D420" t="s">
        <v>73</v>
      </c>
      <c r="E420" t="s">
        <v>74</v>
      </c>
      <c r="F420" t="s">
        <v>94</v>
      </c>
      <c r="G420" t="s">
        <v>46</v>
      </c>
      <c r="H420" s="4">
        <v>14196.82</v>
      </c>
      <c r="I420">
        <v>1</v>
      </c>
      <c r="J420" s="5">
        <v>0.1</v>
      </c>
      <c r="K420">
        <v>2628.56</v>
      </c>
      <c r="L420" t="s">
        <v>68</v>
      </c>
      <c r="M420" s="16">
        <f t="shared" si="6"/>
        <v>45962</v>
      </c>
    </row>
    <row r="421" spans="1:13" x14ac:dyDescent="0.3">
      <c r="A421" t="s">
        <v>591</v>
      </c>
      <c r="B421" s="3">
        <v>45963.643286573133</v>
      </c>
      <c r="C421" t="s">
        <v>378</v>
      </c>
      <c r="D421" t="s">
        <v>54</v>
      </c>
      <c r="E421" t="s">
        <v>55</v>
      </c>
      <c r="F421" t="s">
        <v>87</v>
      </c>
      <c r="G421" t="s">
        <v>17</v>
      </c>
      <c r="H421" s="4">
        <v>145492.34</v>
      </c>
      <c r="I421">
        <v>3</v>
      </c>
      <c r="J421" s="5">
        <v>0</v>
      </c>
      <c r="K421">
        <v>39129.760000000002</v>
      </c>
      <c r="L421" t="s">
        <v>68</v>
      </c>
      <c r="M421" s="16">
        <f t="shared" si="6"/>
        <v>45962</v>
      </c>
    </row>
    <row r="422" spans="1:13" x14ac:dyDescent="0.3">
      <c r="A422" t="s">
        <v>592</v>
      </c>
      <c r="B422" s="3">
        <v>45964.372745490968</v>
      </c>
      <c r="C422" t="s">
        <v>135</v>
      </c>
      <c r="D422" t="s">
        <v>21</v>
      </c>
      <c r="E422" t="s">
        <v>22</v>
      </c>
      <c r="F422" t="s">
        <v>23</v>
      </c>
      <c r="G422" t="s">
        <v>24</v>
      </c>
      <c r="H422" s="4">
        <v>45806.77</v>
      </c>
      <c r="I422">
        <v>4</v>
      </c>
      <c r="J422" s="5">
        <v>0.1</v>
      </c>
      <c r="K422">
        <v>7403.76</v>
      </c>
      <c r="L422" t="s">
        <v>31</v>
      </c>
      <c r="M422" s="16">
        <f t="shared" si="6"/>
        <v>45962</v>
      </c>
    </row>
    <row r="423" spans="1:13" x14ac:dyDescent="0.3">
      <c r="A423" t="s">
        <v>593</v>
      </c>
      <c r="B423" s="3">
        <v>45965.102204408809</v>
      </c>
      <c r="C423" t="s">
        <v>124</v>
      </c>
      <c r="D423" t="s">
        <v>38</v>
      </c>
      <c r="E423" t="s">
        <v>39</v>
      </c>
      <c r="F423" t="s">
        <v>16</v>
      </c>
      <c r="G423" t="s">
        <v>17</v>
      </c>
      <c r="H423" s="4">
        <v>45377.24</v>
      </c>
      <c r="I423">
        <v>3</v>
      </c>
      <c r="J423" s="5">
        <v>0.05</v>
      </c>
      <c r="K423">
        <v>11251.76</v>
      </c>
      <c r="L423" t="s">
        <v>31</v>
      </c>
      <c r="M423" s="16">
        <f t="shared" si="6"/>
        <v>45962</v>
      </c>
    </row>
    <row r="424" spans="1:13" x14ac:dyDescent="0.3">
      <c r="A424" t="s">
        <v>594</v>
      </c>
      <c r="B424" s="3">
        <v>45965.831663326637</v>
      </c>
      <c r="C424" t="s">
        <v>395</v>
      </c>
      <c r="D424" t="s">
        <v>73</v>
      </c>
      <c r="E424" t="s">
        <v>74</v>
      </c>
      <c r="F424" t="s">
        <v>30</v>
      </c>
      <c r="G424" t="s">
        <v>17</v>
      </c>
      <c r="H424" s="4">
        <v>88206.74</v>
      </c>
      <c r="I424">
        <v>3</v>
      </c>
      <c r="J424" s="5">
        <v>0</v>
      </c>
      <c r="K424">
        <v>20259.05</v>
      </c>
      <c r="L424" t="s">
        <v>68</v>
      </c>
      <c r="M424" s="16">
        <f t="shared" si="6"/>
        <v>45962</v>
      </c>
    </row>
    <row r="425" spans="1:13" x14ac:dyDescent="0.3">
      <c r="A425" t="s">
        <v>595</v>
      </c>
      <c r="B425" s="3">
        <v>45966.561122244479</v>
      </c>
      <c r="C425" t="s">
        <v>345</v>
      </c>
      <c r="D425" t="s">
        <v>21</v>
      </c>
      <c r="E425" t="s">
        <v>22</v>
      </c>
      <c r="F425" t="s">
        <v>94</v>
      </c>
      <c r="G425" t="s">
        <v>46</v>
      </c>
      <c r="H425" s="4">
        <v>34535.01</v>
      </c>
      <c r="I425">
        <v>3</v>
      </c>
      <c r="J425" s="5">
        <v>0.1</v>
      </c>
      <c r="K425">
        <v>6998.81</v>
      </c>
      <c r="L425" t="s">
        <v>51</v>
      </c>
      <c r="M425" s="16">
        <f t="shared" si="6"/>
        <v>45962</v>
      </c>
    </row>
    <row r="426" spans="1:13" x14ac:dyDescent="0.3">
      <c r="A426" t="s">
        <v>596</v>
      </c>
      <c r="B426" s="3">
        <v>45967.290581162313</v>
      </c>
      <c r="C426" t="s">
        <v>103</v>
      </c>
      <c r="D426" t="s">
        <v>43</v>
      </c>
      <c r="E426" t="s">
        <v>44</v>
      </c>
      <c r="F426" t="s">
        <v>16</v>
      </c>
      <c r="G426" t="s">
        <v>17</v>
      </c>
      <c r="H426" s="4">
        <v>61419.22</v>
      </c>
      <c r="I426">
        <v>5</v>
      </c>
      <c r="J426" s="5">
        <v>0</v>
      </c>
      <c r="K426">
        <v>15692.24</v>
      </c>
      <c r="L426" t="s">
        <v>31</v>
      </c>
      <c r="M426" s="16">
        <f t="shared" si="6"/>
        <v>45962</v>
      </c>
    </row>
    <row r="427" spans="1:13" x14ac:dyDescent="0.3">
      <c r="A427" t="s">
        <v>597</v>
      </c>
      <c r="B427" s="3">
        <v>45968.020040080148</v>
      </c>
      <c r="C427" t="s">
        <v>516</v>
      </c>
      <c r="D427" t="s">
        <v>114</v>
      </c>
      <c r="E427" t="s">
        <v>114</v>
      </c>
      <c r="F427" t="s">
        <v>34</v>
      </c>
      <c r="G427" t="s">
        <v>35</v>
      </c>
      <c r="H427" s="4">
        <v>2971.15</v>
      </c>
      <c r="I427">
        <v>2</v>
      </c>
      <c r="J427" s="5">
        <v>0.05</v>
      </c>
      <c r="K427">
        <v>673.1</v>
      </c>
      <c r="L427" t="s">
        <v>18</v>
      </c>
      <c r="M427" s="16">
        <f t="shared" si="6"/>
        <v>45962</v>
      </c>
    </row>
    <row r="428" spans="1:13" x14ac:dyDescent="0.3">
      <c r="A428" t="s">
        <v>598</v>
      </c>
      <c r="B428" s="3">
        <v>45968.74949899799</v>
      </c>
      <c r="C428" t="s">
        <v>243</v>
      </c>
      <c r="D428" t="s">
        <v>43</v>
      </c>
      <c r="E428" t="s">
        <v>44</v>
      </c>
      <c r="F428" t="s">
        <v>75</v>
      </c>
      <c r="G428" t="s">
        <v>24</v>
      </c>
      <c r="H428" s="4">
        <v>19074.87</v>
      </c>
      <c r="I428">
        <v>2</v>
      </c>
      <c r="J428" s="5">
        <v>0.05</v>
      </c>
      <c r="K428">
        <v>3408.68</v>
      </c>
      <c r="L428" t="s">
        <v>51</v>
      </c>
      <c r="M428" s="16">
        <f t="shared" si="6"/>
        <v>45962</v>
      </c>
    </row>
    <row r="429" spans="1:13" x14ac:dyDescent="0.3">
      <c r="A429" t="s">
        <v>599</v>
      </c>
      <c r="B429" s="3">
        <v>45969.478957915817</v>
      </c>
      <c r="C429" t="s">
        <v>470</v>
      </c>
      <c r="D429" t="s">
        <v>28</v>
      </c>
      <c r="E429" t="s">
        <v>29</v>
      </c>
      <c r="F429" t="s">
        <v>87</v>
      </c>
      <c r="G429" t="s">
        <v>17</v>
      </c>
      <c r="H429" s="4">
        <v>166061.73000000001</v>
      </c>
      <c r="I429">
        <v>3</v>
      </c>
      <c r="J429" s="5">
        <v>0</v>
      </c>
      <c r="K429">
        <v>25610.47</v>
      </c>
      <c r="L429" t="s">
        <v>18</v>
      </c>
      <c r="M429" s="16">
        <f t="shared" si="6"/>
        <v>45962</v>
      </c>
    </row>
    <row r="430" spans="1:13" x14ac:dyDescent="0.3">
      <c r="A430" t="s">
        <v>600</v>
      </c>
      <c r="B430" s="3">
        <v>45970.208416833659</v>
      </c>
      <c r="C430" t="s">
        <v>20</v>
      </c>
      <c r="D430" t="s">
        <v>38</v>
      </c>
      <c r="E430" t="s">
        <v>39</v>
      </c>
      <c r="F430" t="s">
        <v>75</v>
      </c>
      <c r="G430" t="s">
        <v>24</v>
      </c>
      <c r="H430" s="4">
        <v>7988.82</v>
      </c>
      <c r="I430">
        <v>1</v>
      </c>
      <c r="J430" s="5">
        <v>0.2</v>
      </c>
      <c r="K430">
        <v>2012.9</v>
      </c>
      <c r="L430" t="s">
        <v>18</v>
      </c>
      <c r="M430" s="16">
        <f t="shared" si="6"/>
        <v>45962</v>
      </c>
    </row>
    <row r="431" spans="1:13" x14ac:dyDescent="0.3">
      <c r="A431" t="s">
        <v>601</v>
      </c>
      <c r="B431" s="3">
        <v>45970.937875751493</v>
      </c>
      <c r="C431" t="s">
        <v>232</v>
      </c>
      <c r="D431" t="s">
        <v>114</v>
      </c>
      <c r="E431" t="s">
        <v>114</v>
      </c>
      <c r="F431" t="s">
        <v>30</v>
      </c>
      <c r="G431" t="s">
        <v>17</v>
      </c>
      <c r="H431" s="4">
        <v>150135.78</v>
      </c>
      <c r="I431">
        <v>5</v>
      </c>
      <c r="J431" s="5">
        <v>0.1</v>
      </c>
      <c r="K431">
        <v>37042.79</v>
      </c>
      <c r="L431" t="s">
        <v>51</v>
      </c>
      <c r="M431" s="16">
        <f t="shared" si="6"/>
        <v>45962</v>
      </c>
    </row>
    <row r="432" spans="1:13" x14ac:dyDescent="0.3">
      <c r="A432" t="s">
        <v>602</v>
      </c>
      <c r="B432" s="3">
        <v>45971.667334669328</v>
      </c>
      <c r="C432" t="s">
        <v>116</v>
      </c>
      <c r="D432" t="s">
        <v>61</v>
      </c>
      <c r="E432" t="s">
        <v>62</v>
      </c>
      <c r="F432" t="s">
        <v>34</v>
      </c>
      <c r="G432" t="s">
        <v>35</v>
      </c>
      <c r="H432" s="4">
        <v>9278.43</v>
      </c>
      <c r="I432">
        <v>5</v>
      </c>
      <c r="J432" s="5">
        <v>0.05</v>
      </c>
      <c r="K432">
        <v>1670.27</v>
      </c>
      <c r="L432" t="s">
        <v>31</v>
      </c>
      <c r="M432" s="16">
        <f t="shared" si="6"/>
        <v>45962</v>
      </c>
    </row>
    <row r="433" spans="1:13" x14ac:dyDescent="0.3">
      <c r="A433" t="s">
        <v>603</v>
      </c>
      <c r="B433" s="3">
        <v>45972.396793587162</v>
      </c>
      <c r="C433" t="s">
        <v>67</v>
      </c>
      <c r="D433" t="s">
        <v>54</v>
      </c>
      <c r="E433" t="s">
        <v>55</v>
      </c>
      <c r="F433" t="s">
        <v>56</v>
      </c>
      <c r="G433" t="s">
        <v>35</v>
      </c>
      <c r="H433" s="4">
        <v>4458.8599999999997</v>
      </c>
      <c r="I433">
        <v>5</v>
      </c>
      <c r="J433" s="5">
        <v>0</v>
      </c>
      <c r="K433">
        <v>544.01</v>
      </c>
      <c r="L433" t="s">
        <v>18</v>
      </c>
      <c r="M433" s="16">
        <f t="shared" si="6"/>
        <v>45962</v>
      </c>
    </row>
    <row r="434" spans="1:13" x14ac:dyDescent="0.3">
      <c r="A434" t="s">
        <v>604</v>
      </c>
      <c r="B434" s="3">
        <v>45973.126252504997</v>
      </c>
      <c r="C434" t="s">
        <v>413</v>
      </c>
      <c r="D434" t="s">
        <v>28</v>
      </c>
      <c r="E434" t="s">
        <v>29</v>
      </c>
      <c r="F434" t="s">
        <v>30</v>
      </c>
      <c r="G434" t="s">
        <v>17</v>
      </c>
      <c r="H434" s="4">
        <v>27842.13</v>
      </c>
      <c r="I434">
        <v>1</v>
      </c>
      <c r="J434" s="5">
        <v>0</v>
      </c>
      <c r="K434">
        <v>3120.89</v>
      </c>
      <c r="L434" t="s">
        <v>51</v>
      </c>
      <c r="M434" s="16">
        <f t="shared" si="6"/>
        <v>45962</v>
      </c>
    </row>
    <row r="435" spans="1:13" x14ac:dyDescent="0.3">
      <c r="A435" t="s">
        <v>605</v>
      </c>
      <c r="B435" s="3">
        <v>45973.855711422839</v>
      </c>
      <c r="C435" t="s">
        <v>148</v>
      </c>
      <c r="D435" t="s">
        <v>61</v>
      </c>
      <c r="E435" t="s">
        <v>62</v>
      </c>
      <c r="F435" t="s">
        <v>106</v>
      </c>
      <c r="G435" t="s">
        <v>35</v>
      </c>
      <c r="H435" s="4">
        <v>3410.4</v>
      </c>
      <c r="I435">
        <v>2</v>
      </c>
      <c r="J435" s="5">
        <v>0.15</v>
      </c>
      <c r="K435">
        <v>740.15</v>
      </c>
      <c r="L435" t="s">
        <v>68</v>
      </c>
      <c r="M435" s="16">
        <f t="shared" si="6"/>
        <v>45962</v>
      </c>
    </row>
    <row r="436" spans="1:13" x14ac:dyDescent="0.3">
      <c r="A436" t="s">
        <v>606</v>
      </c>
      <c r="B436" s="3">
        <v>45974.585170340673</v>
      </c>
      <c r="C436" t="s">
        <v>391</v>
      </c>
      <c r="D436" t="s">
        <v>90</v>
      </c>
      <c r="E436" t="s">
        <v>44</v>
      </c>
      <c r="F436" t="s">
        <v>16</v>
      </c>
      <c r="G436" t="s">
        <v>17</v>
      </c>
      <c r="H436" s="4">
        <v>46619.35</v>
      </c>
      <c r="I436">
        <v>4</v>
      </c>
      <c r="J436" s="5">
        <v>0.1</v>
      </c>
      <c r="K436">
        <v>8722.98</v>
      </c>
      <c r="L436" t="s">
        <v>25</v>
      </c>
      <c r="M436" s="16">
        <f t="shared" si="6"/>
        <v>45962</v>
      </c>
    </row>
    <row r="437" spans="1:13" x14ac:dyDescent="0.3">
      <c r="A437" t="s">
        <v>607</v>
      </c>
      <c r="B437" s="3">
        <v>45975.314629258508</v>
      </c>
      <c r="C437" t="s">
        <v>207</v>
      </c>
      <c r="D437" t="s">
        <v>49</v>
      </c>
      <c r="E437" t="s">
        <v>50</v>
      </c>
      <c r="F437" t="s">
        <v>94</v>
      </c>
      <c r="G437" t="s">
        <v>46</v>
      </c>
      <c r="H437" s="4">
        <v>56540.33</v>
      </c>
      <c r="I437">
        <v>5</v>
      </c>
      <c r="J437" s="5">
        <v>0.2</v>
      </c>
      <c r="K437">
        <v>15297.72</v>
      </c>
      <c r="L437" t="s">
        <v>31</v>
      </c>
      <c r="M437" s="16">
        <f t="shared" si="6"/>
        <v>45962</v>
      </c>
    </row>
    <row r="438" spans="1:13" x14ac:dyDescent="0.3">
      <c r="A438" t="s">
        <v>608</v>
      </c>
      <c r="B438" s="3">
        <v>45976.044088176342</v>
      </c>
      <c r="C438" t="s">
        <v>33</v>
      </c>
      <c r="D438" t="s">
        <v>73</v>
      </c>
      <c r="E438" t="s">
        <v>74</v>
      </c>
      <c r="F438" t="s">
        <v>45</v>
      </c>
      <c r="G438" t="s">
        <v>46</v>
      </c>
      <c r="H438" s="4">
        <v>189.12</v>
      </c>
      <c r="I438">
        <v>1</v>
      </c>
      <c r="J438" s="5">
        <v>0.2</v>
      </c>
      <c r="K438">
        <v>18.07</v>
      </c>
      <c r="L438" t="s">
        <v>31</v>
      </c>
      <c r="M438" s="16">
        <f t="shared" si="6"/>
        <v>45962</v>
      </c>
    </row>
    <row r="439" spans="1:13" x14ac:dyDescent="0.3">
      <c r="A439" t="s">
        <v>609</v>
      </c>
      <c r="B439" s="3">
        <v>45976.773547094177</v>
      </c>
      <c r="C439" t="s">
        <v>470</v>
      </c>
      <c r="D439" t="s">
        <v>28</v>
      </c>
      <c r="E439" t="s">
        <v>29</v>
      </c>
      <c r="F439" t="s">
        <v>106</v>
      </c>
      <c r="G439" t="s">
        <v>35</v>
      </c>
      <c r="H439" s="4">
        <v>3814.37</v>
      </c>
      <c r="I439">
        <v>2</v>
      </c>
      <c r="J439" s="5">
        <v>0.05</v>
      </c>
      <c r="K439">
        <v>657.48</v>
      </c>
      <c r="L439" t="s">
        <v>31</v>
      </c>
      <c r="M439" s="16">
        <f t="shared" si="6"/>
        <v>45962</v>
      </c>
    </row>
    <row r="440" spans="1:13" x14ac:dyDescent="0.3">
      <c r="A440" t="s">
        <v>610</v>
      </c>
      <c r="B440" s="3">
        <v>45977.503006012012</v>
      </c>
      <c r="C440" t="s">
        <v>67</v>
      </c>
      <c r="D440" t="s">
        <v>114</v>
      </c>
      <c r="E440" t="s">
        <v>114</v>
      </c>
      <c r="F440" t="s">
        <v>75</v>
      </c>
      <c r="G440" t="s">
        <v>24</v>
      </c>
      <c r="H440" s="4">
        <v>45596.24</v>
      </c>
      <c r="I440">
        <v>5</v>
      </c>
      <c r="J440" s="5">
        <v>0.05</v>
      </c>
      <c r="K440">
        <v>8110.44</v>
      </c>
      <c r="L440" t="s">
        <v>68</v>
      </c>
      <c r="M440" s="16">
        <f t="shared" si="6"/>
        <v>45962</v>
      </c>
    </row>
    <row r="441" spans="1:13" x14ac:dyDescent="0.3">
      <c r="A441" t="s">
        <v>611</v>
      </c>
      <c r="B441" s="3">
        <v>45978.232464929853</v>
      </c>
      <c r="C441" t="s">
        <v>190</v>
      </c>
      <c r="D441" t="s">
        <v>43</v>
      </c>
      <c r="E441" t="s">
        <v>44</v>
      </c>
      <c r="F441" t="s">
        <v>106</v>
      </c>
      <c r="G441" t="s">
        <v>35</v>
      </c>
      <c r="H441" s="4">
        <v>7232.26</v>
      </c>
      <c r="I441">
        <v>4</v>
      </c>
      <c r="J441" s="5">
        <v>0</v>
      </c>
      <c r="K441">
        <v>699.44</v>
      </c>
      <c r="L441" t="s">
        <v>18</v>
      </c>
      <c r="M441" s="16">
        <f t="shared" si="6"/>
        <v>45962</v>
      </c>
    </row>
    <row r="442" spans="1:13" x14ac:dyDescent="0.3">
      <c r="A442" t="s">
        <v>612</v>
      </c>
      <c r="B442" s="3">
        <v>45978.961923847688</v>
      </c>
      <c r="C442" t="s">
        <v>481</v>
      </c>
      <c r="D442" t="s">
        <v>73</v>
      </c>
      <c r="E442" t="s">
        <v>74</v>
      </c>
      <c r="F442" t="s">
        <v>45</v>
      </c>
      <c r="G442" t="s">
        <v>46</v>
      </c>
      <c r="H442" s="4">
        <v>1024.6400000000001</v>
      </c>
      <c r="I442">
        <v>4</v>
      </c>
      <c r="J442" s="5">
        <v>0</v>
      </c>
      <c r="K442">
        <v>125.39</v>
      </c>
      <c r="L442" t="s">
        <v>18</v>
      </c>
      <c r="M442" s="16">
        <f t="shared" si="6"/>
        <v>45962</v>
      </c>
    </row>
    <row r="443" spans="1:13" x14ac:dyDescent="0.3">
      <c r="A443" t="s">
        <v>613</v>
      </c>
      <c r="B443" s="3">
        <v>45979.691382765523</v>
      </c>
      <c r="C443" t="s">
        <v>493</v>
      </c>
      <c r="D443" t="s">
        <v>28</v>
      </c>
      <c r="E443" t="s">
        <v>29</v>
      </c>
      <c r="F443" t="s">
        <v>63</v>
      </c>
      <c r="G443" t="s">
        <v>17</v>
      </c>
      <c r="H443" s="4">
        <v>63769.88</v>
      </c>
      <c r="I443">
        <v>3</v>
      </c>
      <c r="J443" s="5">
        <v>0.05</v>
      </c>
      <c r="K443">
        <v>10572.34</v>
      </c>
      <c r="L443" t="s">
        <v>51</v>
      </c>
      <c r="M443" s="16">
        <f t="shared" si="6"/>
        <v>45962</v>
      </c>
    </row>
    <row r="444" spans="1:13" x14ac:dyDescent="0.3">
      <c r="A444" t="s">
        <v>614</v>
      </c>
      <c r="B444" s="3">
        <v>45980.420841683357</v>
      </c>
      <c r="C444" t="s">
        <v>615</v>
      </c>
      <c r="D444" t="s">
        <v>49</v>
      </c>
      <c r="E444" t="s">
        <v>50</v>
      </c>
      <c r="F444" t="s">
        <v>45</v>
      </c>
      <c r="G444" t="s">
        <v>46</v>
      </c>
      <c r="H444" s="4">
        <v>216.39</v>
      </c>
      <c r="I444">
        <v>1</v>
      </c>
      <c r="J444" s="5">
        <v>0.05</v>
      </c>
      <c r="K444">
        <v>40.97</v>
      </c>
      <c r="L444" t="s">
        <v>68</v>
      </c>
      <c r="M444" s="16">
        <f t="shared" si="6"/>
        <v>45962</v>
      </c>
    </row>
    <row r="445" spans="1:13" x14ac:dyDescent="0.3">
      <c r="A445" t="s">
        <v>616</v>
      </c>
      <c r="B445" s="3">
        <v>45981.150300601192</v>
      </c>
      <c r="C445" t="s">
        <v>202</v>
      </c>
      <c r="D445" t="s">
        <v>90</v>
      </c>
      <c r="E445" t="s">
        <v>44</v>
      </c>
      <c r="F445" t="s">
        <v>106</v>
      </c>
      <c r="G445" t="s">
        <v>35</v>
      </c>
      <c r="H445" s="4">
        <v>8560.4599999999991</v>
      </c>
      <c r="I445">
        <v>5</v>
      </c>
      <c r="J445" s="5">
        <v>0</v>
      </c>
      <c r="K445">
        <v>1869.73</v>
      </c>
      <c r="L445" t="s">
        <v>51</v>
      </c>
      <c r="M445" s="16">
        <f t="shared" si="6"/>
        <v>45962</v>
      </c>
    </row>
    <row r="446" spans="1:13" x14ac:dyDescent="0.3">
      <c r="A446" t="s">
        <v>617</v>
      </c>
      <c r="B446" s="3">
        <v>45981.879759519034</v>
      </c>
      <c r="C446" t="s">
        <v>335</v>
      </c>
      <c r="D446" t="s">
        <v>90</v>
      </c>
      <c r="E446" t="s">
        <v>44</v>
      </c>
      <c r="F446" t="s">
        <v>40</v>
      </c>
      <c r="G446" t="s">
        <v>17</v>
      </c>
      <c r="H446" s="4">
        <v>4761.12</v>
      </c>
      <c r="I446">
        <v>2</v>
      </c>
      <c r="J446" s="5">
        <v>0.05</v>
      </c>
      <c r="K446">
        <v>398.15</v>
      </c>
      <c r="L446" t="s">
        <v>18</v>
      </c>
      <c r="M446" s="16">
        <f t="shared" si="6"/>
        <v>45962</v>
      </c>
    </row>
    <row r="447" spans="1:13" x14ac:dyDescent="0.3">
      <c r="A447" t="s">
        <v>618</v>
      </c>
      <c r="B447" s="3">
        <v>45982.609218436861</v>
      </c>
      <c r="C447" t="s">
        <v>27</v>
      </c>
      <c r="D447" t="s">
        <v>71</v>
      </c>
      <c r="E447" t="s">
        <v>55</v>
      </c>
      <c r="F447" t="s">
        <v>106</v>
      </c>
      <c r="G447" t="s">
        <v>35</v>
      </c>
      <c r="H447" s="4">
        <v>5420.3</v>
      </c>
      <c r="I447">
        <v>3</v>
      </c>
      <c r="J447" s="5">
        <v>0.05</v>
      </c>
      <c r="K447">
        <v>444.44</v>
      </c>
      <c r="L447" t="s">
        <v>31</v>
      </c>
      <c r="M447" s="16">
        <f t="shared" si="6"/>
        <v>45962</v>
      </c>
    </row>
    <row r="448" spans="1:13" x14ac:dyDescent="0.3">
      <c r="A448" t="s">
        <v>619</v>
      </c>
      <c r="B448" s="3">
        <v>45983.338677354703</v>
      </c>
      <c r="C448" t="s">
        <v>493</v>
      </c>
      <c r="D448" t="s">
        <v>38</v>
      </c>
      <c r="E448" t="s">
        <v>39</v>
      </c>
      <c r="F448" t="s">
        <v>56</v>
      </c>
      <c r="G448" t="s">
        <v>35</v>
      </c>
      <c r="H448" s="4">
        <v>851.18</v>
      </c>
      <c r="I448">
        <v>1</v>
      </c>
      <c r="J448" s="5">
        <v>0.05</v>
      </c>
      <c r="K448">
        <v>202.85</v>
      </c>
      <c r="L448" t="s">
        <v>51</v>
      </c>
      <c r="M448" s="16">
        <f t="shared" si="6"/>
        <v>45962</v>
      </c>
    </row>
    <row r="449" spans="1:13" x14ac:dyDescent="0.3">
      <c r="A449" t="s">
        <v>620</v>
      </c>
      <c r="B449" s="3">
        <v>45984.068136272537</v>
      </c>
      <c r="C449" t="s">
        <v>329</v>
      </c>
      <c r="D449" t="s">
        <v>38</v>
      </c>
      <c r="E449" t="s">
        <v>39</v>
      </c>
      <c r="F449" t="s">
        <v>40</v>
      </c>
      <c r="G449" t="s">
        <v>17</v>
      </c>
      <c r="H449" s="4">
        <v>6218.05</v>
      </c>
      <c r="I449">
        <v>3</v>
      </c>
      <c r="J449" s="5">
        <v>0.05</v>
      </c>
      <c r="K449">
        <v>1496.73</v>
      </c>
      <c r="L449" t="s">
        <v>25</v>
      </c>
      <c r="M449" s="16">
        <f t="shared" si="6"/>
        <v>45962</v>
      </c>
    </row>
    <row r="450" spans="1:13" x14ac:dyDescent="0.3">
      <c r="A450" t="s">
        <v>621</v>
      </c>
      <c r="B450" s="3">
        <v>45984.797595190372</v>
      </c>
      <c r="C450" t="s">
        <v>327</v>
      </c>
      <c r="D450" t="s">
        <v>38</v>
      </c>
      <c r="E450" t="s">
        <v>39</v>
      </c>
      <c r="F450" t="s">
        <v>23</v>
      </c>
      <c r="G450" t="s">
        <v>24</v>
      </c>
      <c r="H450" s="4">
        <v>47709.14</v>
      </c>
      <c r="I450">
        <v>4</v>
      </c>
      <c r="J450" s="5">
        <v>0.1</v>
      </c>
      <c r="K450">
        <v>13184.01</v>
      </c>
      <c r="L450" t="s">
        <v>68</v>
      </c>
      <c r="M450" s="16">
        <f t="shared" ref="M450:M501" si="7">DATE(YEAR(B450),MONTH(B450),1)</f>
        <v>45962</v>
      </c>
    </row>
    <row r="451" spans="1:13" x14ac:dyDescent="0.3">
      <c r="A451" t="s">
        <v>622</v>
      </c>
      <c r="B451" s="3">
        <v>45985.527054108214</v>
      </c>
      <c r="C451" t="s">
        <v>198</v>
      </c>
      <c r="D451" t="s">
        <v>28</v>
      </c>
      <c r="E451" t="s">
        <v>29</v>
      </c>
      <c r="F451" t="s">
        <v>16</v>
      </c>
      <c r="G451" t="s">
        <v>17</v>
      </c>
      <c r="H451" s="4">
        <v>67678.23</v>
      </c>
      <c r="I451">
        <v>5</v>
      </c>
      <c r="J451" s="5">
        <v>0.05</v>
      </c>
      <c r="K451">
        <v>8393.61</v>
      </c>
      <c r="L451" t="s">
        <v>18</v>
      </c>
      <c r="M451" s="16">
        <f t="shared" si="7"/>
        <v>45962</v>
      </c>
    </row>
    <row r="452" spans="1:13" x14ac:dyDescent="0.3">
      <c r="A452" t="s">
        <v>623</v>
      </c>
      <c r="B452" s="3">
        <v>45986.256513026041</v>
      </c>
      <c r="C452" t="s">
        <v>198</v>
      </c>
      <c r="D452" t="s">
        <v>14</v>
      </c>
      <c r="E452" t="s">
        <v>15</v>
      </c>
      <c r="F452" t="s">
        <v>16</v>
      </c>
      <c r="G452" t="s">
        <v>17</v>
      </c>
      <c r="H452" s="4">
        <v>40355.47</v>
      </c>
      <c r="I452">
        <v>3</v>
      </c>
      <c r="J452" s="5">
        <v>0</v>
      </c>
      <c r="K452">
        <v>6052.88</v>
      </c>
      <c r="L452" t="s">
        <v>31</v>
      </c>
      <c r="M452" s="16">
        <f t="shared" si="7"/>
        <v>45962</v>
      </c>
    </row>
    <row r="453" spans="1:13" x14ac:dyDescent="0.3">
      <c r="A453" t="s">
        <v>624</v>
      </c>
      <c r="B453" s="3">
        <v>45986.985971943883</v>
      </c>
      <c r="C453" t="s">
        <v>53</v>
      </c>
      <c r="D453" t="s">
        <v>38</v>
      </c>
      <c r="E453" t="s">
        <v>39</v>
      </c>
      <c r="F453" t="s">
        <v>63</v>
      </c>
      <c r="G453" t="s">
        <v>17</v>
      </c>
      <c r="H453" s="4">
        <v>77317.81</v>
      </c>
      <c r="I453">
        <v>4</v>
      </c>
      <c r="J453" s="5">
        <v>0</v>
      </c>
      <c r="K453">
        <v>6937.85</v>
      </c>
      <c r="L453" t="s">
        <v>31</v>
      </c>
      <c r="M453" s="16">
        <f t="shared" si="7"/>
        <v>45962</v>
      </c>
    </row>
    <row r="454" spans="1:13" x14ac:dyDescent="0.3">
      <c r="A454" t="s">
        <v>625</v>
      </c>
      <c r="B454" s="3">
        <v>45987.71543086171</v>
      </c>
      <c r="C454" t="s">
        <v>103</v>
      </c>
      <c r="D454" t="s">
        <v>73</v>
      </c>
      <c r="E454" t="s">
        <v>74</v>
      </c>
      <c r="F454" t="s">
        <v>45</v>
      </c>
      <c r="G454" t="s">
        <v>46</v>
      </c>
      <c r="H454" s="4">
        <v>1195.01</v>
      </c>
      <c r="I454">
        <v>5</v>
      </c>
      <c r="J454" s="5">
        <v>0.05</v>
      </c>
      <c r="K454">
        <v>257.52</v>
      </c>
      <c r="L454" t="s">
        <v>18</v>
      </c>
      <c r="M454" s="16">
        <f t="shared" si="7"/>
        <v>45962</v>
      </c>
    </row>
    <row r="455" spans="1:13" x14ac:dyDescent="0.3">
      <c r="A455" t="s">
        <v>626</v>
      </c>
      <c r="B455" s="3">
        <v>45988.444889779552</v>
      </c>
      <c r="C455" t="s">
        <v>261</v>
      </c>
      <c r="D455" t="s">
        <v>114</v>
      </c>
      <c r="E455" t="s">
        <v>114</v>
      </c>
      <c r="F455" t="s">
        <v>40</v>
      </c>
      <c r="G455" t="s">
        <v>17</v>
      </c>
      <c r="H455" s="4">
        <v>10726.76</v>
      </c>
      <c r="I455">
        <v>4</v>
      </c>
      <c r="J455" s="5">
        <v>0</v>
      </c>
      <c r="K455">
        <v>1276.43</v>
      </c>
      <c r="L455" t="s">
        <v>68</v>
      </c>
      <c r="M455" s="16">
        <f t="shared" si="7"/>
        <v>45962</v>
      </c>
    </row>
    <row r="456" spans="1:13" x14ac:dyDescent="0.3">
      <c r="A456" t="s">
        <v>627</v>
      </c>
      <c r="B456" s="3">
        <v>45989.174348697386</v>
      </c>
      <c r="C456" t="s">
        <v>110</v>
      </c>
      <c r="D456" t="s">
        <v>73</v>
      </c>
      <c r="E456" t="s">
        <v>74</v>
      </c>
      <c r="F456" t="s">
        <v>87</v>
      </c>
      <c r="G456" t="s">
        <v>17</v>
      </c>
      <c r="H456" s="4">
        <v>137437.82999999999</v>
      </c>
      <c r="I456">
        <v>3</v>
      </c>
      <c r="J456" s="5">
        <v>0.15</v>
      </c>
      <c r="K456">
        <v>34430.51</v>
      </c>
      <c r="L456" t="s">
        <v>51</v>
      </c>
      <c r="M456" s="16">
        <f t="shared" si="7"/>
        <v>45962</v>
      </c>
    </row>
    <row r="457" spans="1:13" x14ac:dyDescent="0.3">
      <c r="A457" t="s">
        <v>628</v>
      </c>
      <c r="B457" s="3">
        <v>45989.903807615221</v>
      </c>
      <c r="C457" t="s">
        <v>81</v>
      </c>
      <c r="D457" t="s">
        <v>61</v>
      </c>
      <c r="E457" t="s">
        <v>62</v>
      </c>
      <c r="F457" t="s">
        <v>45</v>
      </c>
      <c r="G457" t="s">
        <v>46</v>
      </c>
      <c r="H457" s="4">
        <v>1264.5899999999999</v>
      </c>
      <c r="I457">
        <v>5</v>
      </c>
      <c r="J457" s="5">
        <v>0.05</v>
      </c>
      <c r="K457">
        <v>152.32</v>
      </c>
      <c r="L457" t="s">
        <v>68</v>
      </c>
      <c r="M457" s="16">
        <f t="shared" si="7"/>
        <v>45962</v>
      </c>
    </row>
    <row r="458" spans="1:13" x14ac:dyDescent="0.3">
      <c r="A458" t="s">
        <v>629</v>
      </c>
      <c r="B458" s="3">
        <v>45990.633266533063</v>
      </c>
      <c r="C458" t="s">
        <v>172</v>
      </c>
      <c r="D458" t="s">
        <v>21</v>
      </c>
      <c r="E458" t="s">
        <v>22</v>
      </c>
      <c r="F458" t="s">
        <v>30</v>
      </c>
      <c r="G458" t="s">
        <v>17</v>
      </c>
      <c r="H458" s="4">
        <v>115268.76</v>
      </c>
      <c r="I458">
        <v>4</v>
      </c>
      <c r="J458" s="5">
        <v>0.1</v>
      </c>
      <c r="K458">
        <v>22083.82</v>
      </c>
      <c r="L458" t="s">
        <v>51</v>
      </c>
      <c r="M458" s="16">
        <f t="shared" si="7"/>
        <v>45962</v>
      </c>
    </row>
    <row r="459" spans="1:13" x14ac:dyDescent="0.3">
      <c r="A459" t="s">
        <v>630</v>
      </c>
      <c r="B459" s="3">
        <v>45991.36272545089</v>
      </c>
      <c r="C459" t="s">
        <v>437</v>
      </c>
      <c r="D459" t="s">
        <v>61</v>
      </c>
      <c r="E459" t="s">
        <v>62</v>
      </c>
      <c r="F459" t="s">
        <v>40</v>
      </c>
      <c r="G459" t="s">
        <v>17</v>
      </c>
      <c r="H459" s="4">
        <v>3940.93</v>
      </c>
      <c r="I459">
        <v>2</v>
      </c>
      <c r="J459" s="5">
        <v>0.2</v>
      </c>
      <c r="K459">
        <v>655.04999999999995</v>
      </c>
      <c r="L459" t="s">
        <v>18</v>
      </c>
      <c r="M459" s="16">
        <f t="shared" si="7"/>
        <v>45962</v>
      </c>
    </row>
    <row r="460" spans="1:13" x14ac:dyDescent="0.3">
      <c r="A460" t="s">
        <v>631</v>
      </c>
      <c r="B460" s="3">
        <v>45992.092184368717</v>
      </c>
      <c r="C460" t="s">
        <v>401</v>
      </c>
      <c r="D460" t="s">
        <v>28</v>
      </c>
      <c r="E460" t="s">
        <v>29</v>
      </c>
      <c r="F460" t="s">
        <v>40</v>
      </c>
      <c r="G460" t="s">
        <v>17</v>
      </c>
      <c r="H460" s="4">
        <v>11249.82</v>
      </c>
      <c r="I460">
        <v>5</v>
      </c>
      <c r="J460" s="5">
        <v>0.05</v>
      </c>
      <c r="K460">
        <v>1329.56</v>
      </c>
      <c r="L460" t="s">
        <v>51</v>
      </c>
      <c r="M460" s="16">
        <f t="shared" si="7"/>
        <v>45992</v>
      </c>
    </row>
    <row r="461" spans="1:13" x14ac:dyDescent="0.3">
      <c r="A461" t="s">
        <v>632</v>
      </c>
      <c r="B461" s="3">
        <v>45992.821643286559</v>
      </c>
      <c r="C461" t="s">
        <v>421</v>
      </c>
      <c r="D461" t="s">
        <v>14</v>
      </c>
      <c r="E461" t="s">
        <v>15</v>
      </c>
      <c r="F461" t="s">
        <v>106</v>
      </c>
      <c r="G461" t="s">
        <v>35</v>
      </c>
      <c r="H461" s="4">
        <v>5693.51</v>
      </c>
      <c r="I461">
        <v>4</v>
      </c>
      <c r="J461" s="5">
        <v>0.2</v>
      </c>
      <c r="K461">
        <v>1351.31</v>
      </c>
      <c r="L461" t="s">
        <v>25</v>
      </c>
      <c r="M461" s="16">
        <f t="shared" si="7"/>
        <v>45992</v>
      </c>
    </row>
    <row r="462" spans="1:13" x14ac:dyDescent="0.3">
      <c r="A462" t="s">
        <v>633</v>
      </c>
      <c r="B462" s="3">
        <v>45993.551102204401</v>
      </c>
      <c r="C462" t="s">
        <v>456</v>
      </c>
      <c r="D462" t="s">
        <v>61</v>
      </c>
      <c r="E462" t="s">
        <v>62</v>
      </c>
      <c r="F462" t="s">
        <v>87</v>
      </c>
      <c r="G462" t="s">
        <v>17</v>
      </c>
      <c r="H462" s="4">
        <v>191270.38</v>
      </c>
      <c r="I462">
        <v>4</v>
      </c>
      <c r="J462" s="5">
        <v>0.05</v>
      </c>
      <c r="K462">
        <v>25400.87</v>
      </c>
      <c r="L462" t="s">
        <v>68</v>
      </c>
      <c r="M462" s="16">
        <f t="shared" si="7"/>
        <v>45992</v>
      </c>
    </row>
    <row r="463" spans="1:13" x14ac:dyDescent="0.3">
      <c r="A463" t="s">
        <v>634</v>
      </c>
      <c r="B463" s="3">
        <v>45994.280561122243</v>
      </c>
      <c r="C463" t="s">
        <v>250</v>
      </c>
      <c r="D463" t="s">
        <v>61</v>
      </c>
      <c r="E463" t="s">
        <v>62</v>
      </c>
      <c r="F463" t="s">
        <v>23</v>
      </c>
      <c r="G463" t="s">
        <v>24</v>
      </c>
      <c r="H463" s="4">
        <v>24741</v>
      </c>
      <c r="I463">
        <v>2</v>
      </c>
      <c r="J463" s="5">
        <v>0.05</v>
      </c>
      <c r="K463">
        <v>2974.19</v>
      </c>
      <c r="L463" t="s">
        <v>68</v>
      </c>
      <c r="M463" s="16">
        <f t="shared" si="7"/>
        <v>45992</v>
      </c>
    </row>
    <row r="464" spans="1:13" x14ac:dyDescent="0.3">
      <c r="A464" t="s">
        <v>635</v>
      </c>
      <c r="B464" s="3">
        <v>45995.01002004007</v>
      </c>
      <c r="C464" t="s">
        <v>48</v>
      </c>
      <c r="D464" t="s">
        <v>14</v>
      </c>
      <c r="E464" t="s">
        <v>15</v>
      </c>
      <c r="F464" t="s">
        <v>23</v>
      </c>
      <c r="G464" t="s">
        <v>24</v>
      </c>
      <c r="H464" s="4">
        <v>55978.86</v>
      </c>
      <c r="I464">
        <v>5</v>
      </c>
      <c r="J464" s="5">
        <v>0.15</v>
      </c>
      <c r="K464">
        <v>7266.15</v>
      </c>
      <c r="L464" t="s">
        <v>18</v>
      </c>
      <c r="M464" s="16">
        <f t="shared" si="7"/>
        <v>45992</v>
      </c>
    </row>
    <row r="465" spans="1:13" x14ac:dyDescent="0.3">
      <c r="A465" t="s">
        <v>636</v>
      </c>
      <c r="B465" s="3">
        <v>45995.739478957898</v>
      </c>
      <c r="C465" t="s">
        <v>493</v>
      </c>
      <c r="D465" t="s">
        <v>54</v>
      </c>
      <c r="E465" t="s">
        <v>55</v>
      </c>
      <c r="F465" t="s">
        <v>63</v>
      </c>
      <c r="G465" t="s">
        <v>17</v>
      </c>
      <c r="H465" s="4">
        <v>63397</v>
      </c>
      <c r="I465">
        <v>3</v>
      </c>
      <c r="J465" s="5">
        <v>0.15</v>
      </c>
      <c r="K465">
        <v>13620.96</v>
      </c>
      <c r="L465" t="s">
        <v>68</v>
      </c>
      <c r="M465" s="16">
        <f t="shared" si="7"/>
        <v>45992</v>
      </c>
    </row>
    <row r="466" spans="1:13" x14ac:dyDescent="0.3">
      <c r="A466" t="s">
        <v>637</v>
      </c>
      <c r="B466" s="3">
        <v>45996.468937875739</v>
      </c>
      <c r="C466" t="s">
        <v>293</v>
      </c>
      <c r="D466" t="s">
        <v>90</v>
      </c>
      <c r="E466" t="s">
        <v>44</v>
      </c>
      <c r="F466" t="s">
        <v>40</v>
      </c>
      <c r="G466" t="s">
        <v>17</v>
      </c>
      <c r="H466" s="4">
        <v>9498.86</v>
      </c>
      <c r="I466">
        <v>4</v>
      </c>
      <c r="J466" s="5">
        <v>0.15</v>
      </c>
      <c r="K466">
        <v>1531.24</v>
      </c>
      <c r="L466" t="s">
        <v>18</v>
      </c>
      <c r="M466" s="16">
        <f t="shared" si="7"/>
        <v>45992</v>
      </c>
    </row>
    <row r="467" spans="1:13" x14ac:dyDescent="0.3">
      <c r="A467" t="s">
        <v>638</v>
      </c>
      <c r="B467" s="3">
        <v>45997.198396793567</v>
      </c>
      <c r="C467" t="s">
        <v>116</v>
      </c>
      <c r="D467" t="s">
        <v>28</v>
      </c>
      <c r="E467" t="s">
        <v>29</v>
      </c>
      <c r="F467" t="s">
        <v>56</v>
      </c>
      <c r="G467" t="s">
        <v>35</v>
      </c>
      <c r="H467" s="4">
        <v>1815.76</v>
      </c>
      <c r="I467">
        <v>2</v>
      </c>
      <c r="J467" s="5">
        <v>0.05</v>
      </c>
      <c r="K467">
        <v>193.43</v>
      </c>
      <c r="L467" t="s">
        <v>18</v>
      </c>
      <c r="M467" s="16">
        <f t="shared" si="7"/>
        <v>45992</v>
      </c>
    </row>
    <row r="468" spans="1:13" x14ac:dyDescent="0.3">
      <c r="A468" t="s">
        <v>639</v>
      </c>
      <c r="B468" s="3">
        <v>45997.927855711408</v>
      </c>
      <c r="C468" t="s">
        <v>329</v>
      </c>
      <c r="D468" t="s">
        <v>71</v>
      </c>
      <c r="E468" t="s">
        <v>55</v>
      </c>
      <c r="F468" t="s">
        <v>106</v>
      </c>
      <c r="G468" t="s">
        <v>35</v>
      </c>
      <c r="H468" s="4">
        <v>8299.48</v>
      </c>
      <c r="I468">
        <v>5</v>
      </c>
      <c r="J468" s="5">
        <v>0.05</v>
      </c>
      <c r="K468">
        <v>779.04</v>
      </c>
      <c r="L468" t="s">
        <v>51</v>
      </c>
      <c r="M468" s="16">
        <f t="shared" si="7"/>
        <v>45992</v>
      </c>
    </row>
    <row r="469" spans="1:13" x14ac:dyDescent="0.3">
      <c r="A469" t="s">
        <v>640</v>
      </c>
      <c r="B469" s="3">
        <v>45998.65731462925</v>
      </c>
      <c r="C469" t="s">
        <v>247</v>
      </c>
      <c r="D469" t="s">
        <v>21</v>
      </c>
      <c r="E469" t="s">
        <v>22</v>
      </c>
      <c r="F469" t="s">
        <v>94</v>
      </c>
      <c r="G469" t="s">
        <v>46</v>
      </c>
      <c r="H469" s="4">
        <v>52063.11</v>
      </c>
      <c r="I469">
        <v>4</v>
      </c>
      <c r="J469" s="5">
        <v>0.15</v>
      </c>
      <c r="K469">
        <v>8112.76</v>
      </c>
      <c r="L469" t="s">
        <v>25</v>
      </c>
      <c r="M469" s="16">
        <f t="shared" si="7"/>
        <v>45992</v>
      </c>
    </row>
    <row r="470" spans="1:13" x14ac:dyDescent="0.3">
      <c r="A470" t="s">
        <v>641</v>
      </c>
      <c r="B470" s="3">
        <v>45999.386773547078</v>
      </c>
      <c r="C470" t="s">
        <v>190</v>
      </c>
      <c r="D470" t="s">
        <v>114</v>
      </c>
      <c r="E470" t="s">
        <v>114</v>
      </c>
      <c r="F470" t="s">
        <v>34</v>
      </c>
      <c r="G470" t="s">
        <v>35</v>
      </c>
      <c r="H470" s="4">
        <v>8270.56</v>
      </c>
      <c r="I470">
        <v>5</v>
      </c>
      <c r="J470" s="5">
        <v>0.2</v>
      </c>
      <c r="K470">
        <v>1736.01</v>
      </c>
      <c r="L470" t="s">
        <v>25</v>
      </c>
      <c r="M470" s="16">
        <f t="shared" si="7"/>
        <v>45992</v>
      </c>
    </row>
    <row r="471" spans="1:13" x14ac:dyDescent="0.3">
      <c r="A471" t="s">
        <v>642</v>
      </c>
      <c r="B471" s="3">
        <v>46000.116232464919</v>
      </c>
      <c r="C471" t="s">
        <v>269</v>
      </c>
      <c r="D471" t="s">
        <v>28</v>
      </c>
      <c r="E471" t="s">
        <v>29</v>
      </c>
      <c r="F471" t="s">
        <v>94</v>
      </c>
      <c r="G471" t="s">
        <v>46</v>
      </c>
      <c r="H471" s="4">
        <v>43404.58</v>
      </c>
      <c r="I471">
        <v>3</v>
      </c>
      <c r="J471" s="5">
        <v>0.15</v>
      </c>
      <c r="K471">
        <v>6618.6</v>
      </c>
      <c r="L471" t="s">
        <v>18</v>
      </c>
      <c r="M471" s="16">
        <f t="shared" si="7"/>
        <v>45992</v>
      </c>
    </row>
    <row r="472" spans="1:13" x14ac:dyDescent="0.3">
      <c r="A472" t="s">
        <v>643</v>
      </c>
      <c r="B472" s="3">
        <v>46000.845691382747</v>
      </c>
      <c r="C472" t="s">
        <v>113</v>
      </c>
      <c r="D472" t="s">
        <v>114</v>
      </c>
      <c r="E472" t="s">
        <v>114</v>
      </c>
      <c r="F472" t="s">
        <v>63</v>
      </c>
      <c r="G472" t="s">
        <v>17</v>
      </c>
      <c r="H472" s="4">
        <v>85765.4</v>
      </c>
      <c r="I472">
        <v>5</v>
      </c>
      <c r="J472" s="5">
        <v>0.1</v>
      </c>
      <c r="K472">
        <v>23572.58</v>
      </c>
      <c r="L472" t="s">
        <v>18</v>
      </c>
      <c r="M472" s="16">
        <f t="shared" si="7"/>
        <v>45992</v>
      </c>
    </row>
    <row r="473" spans="1:13" x14ac:dyDescent="0.3">
      <c r="A473" t="s">
        <v>644</v>
      </c>
      <c r="B473" s="3">
        <v>46001.575150300589</v>
      </c>
      <c r="C473" t="s">
        <v>356</v>
      </c>
      <c r="D473" t="s">
        <v>90</v>
      </c>
      <c r="E473" t="s">
        <v>44</v>
      </c>
      <c r="F473" t="s">
        <v>75</v>
      </c>
      <c r="G473" t="s">
        <v>24</v>
      </c>
      <c r="H473" s="4">
        <v>35069.339999999997</v>
      </c>
      <c r="I473">
        <v>4</v>
      </c>
      <c r="J473" s="5">
        <v>0</v>
      </c>
      <c r="K473">
        <v>3102.53</v>
      </c>
      <c r="L473" t="s">
        <v>68</v>
      </c>
      <c r="M473" s="16">
        <f t="shared" si="7"/>
        <v>45992</v>
      </c>
    </row>
    <row r="474" spans="1:13" x14ac:dyDescent="0.3">
      <c r="A474" t="s">
        <v>645</v>
      </c>
      <c r="B474" s="3">
        <v>46002.304609218423</v>
      </c>
      <c r="C474" t="s">
        <v>83</v>
      </c>
      <c r="D474" t="s">
        <v>43</v>
      </c>
      <c r="E474" t="s">
        <v>44</v>
      </c>
      <c r="F474" t="s">
        <v>16</v>
      </c>
      <c r="G474" t="s">
        <v>17</v>
      </c>
      <c r="H474" s="4">
        <v>27310.01</v>
      </c>
      <c r="I474">
        <v>2</v>
      </c>
      <c r="J474" s="5">
        <v>0.1</v>
      </c>
      <c r="K474">
        <v>6006.23</v>
      </c>
      <c r="L474" t="s">
        <v>25</v>
      </c>
      <c r="M474" s="16">
        <f t="shared" si="7"/>
        <v>45992</v>
      </c>
    </row>
    <row r="475" spans="1:13" x14ac:dyDescent="0.3">
      <c r="A475" t="s">
        <v>646</v>
      </c>
      <c r="B475" s="3">
        <v>46003.034068136258</v>
      </c>
      <c r="C475" t="s">
        <v>413</v>
      </c>
      <c r="D475" t="s">
        <v>28</v>
      </c>
      <c r="E475" t="s">
        <v>29</v>
      </c>
      <c r="F475" t="s">
        <v>40</v>
      </c>
      <c r="G475" t="s">
        <v>17</v>
      </c>
      <c r="H475" s="4">
        <v>9467.2199999999993</v>
      </c>
      <c r="I475">
        <v>4</v>
      </c>
      <c r="J475" s="5">
        <v>0.05</v>
      </c>
      <c r="K475">
        <v>1048.3800000000001</v>
      </c>
      <c r="L475" t="s">
        <v>51</v>
      </c>
      <c r="M475" s="16">
        <f t="shared" si="7"/>
        <v>45992</v>
      </c>
    </row>
    <row r="476" spans="1:13" x14ac:dyDescent="0.3">
      <c r="A476" t="s">
        <v>647</v>
      </c>
      <c r="B476" s="3">
        <v>46003.7635270541</v>
      </c>
      <c r="C476" t="s">
        <v>53</v>
      </c>
      <c r="D476" t="s">
        <v>54</v>
      </c>
      <c r="E476" t="s">
        <v>55</v>
      </c>
      <c r="F476" t="s">
        <v>56</v>
      </c>
      <c r="G476" t="s">
        <v>35</v>
      </c>
      <c r="H476" s="4">
        <v>1929.9</v>
      </c>
      <c r="I476">
        <v>2</v>
      </c>
      <c r="J476" s="5">
        <v>0</v>
      </c>
      <c r="K476">
        <v>383.7</v>
      </c>
      <c r="L476" t="s">
        <v>68</v>
      </c>
      <c r="M476" s="16">
        <f t="shared" si="7"/>
        <v>45992</v>
      </c>
    </row>
    <row r="477" spans="1:13" x14ac:dyDescent="0.3">
      <c r="A477" t="s">
        <v>647</v>
      </c>
      <c r="B477" s="3">
        <v>46004.492985971927</v>
      </c>
      <c r="C477" t="s">
        <v>481</v>
      </c>
      <c r="D477" t="s">
        <v>49</v>
      </c>
      <c r="E477" t="s">
        <v>50</v>
      </c>
      <c r="F477" t="s">
        <v>45</v>
      </c>
      <c r="G477" t="s">
        <v>46</v>
      </c>
      <c r="H477" s="4">
        <v>219.31</v>
      </c>
      <c r="I477">
        <v>1</v>
      </c>
      <c r="J477" s="5">
        <v>0.15</v>
      </c>
      <c r="K477">
        <v>56.27</v>
      </c>
      <c r="L477" t="s">
        <v>68</v>
      </c>
      <c r="M477" s="16">
        <f t="shared" si="7"/>
        <v>45992</v>
      </c>
    </row>
    <row r="478" spans="1:13" x14ac:dyDescent="0.3">
      <c r="A478" t="s">
        <v>648</v>
      </c>
      <c r="B478" s="3">
        <v>46005.222444889769</v>
      </c>
      <c r="C478" t="s">
        <v>493</v>
      </c>
      <c r="D478" t="s">
        <v>21</v>
      </c>
      <c r="E478" t="s">
        <v>22</v>
      </c>
      <c r="F478" t="s">
        <v>23</v>
      </c>
      <c r="G478" t="s">
        <v>24</v>
      </c>
      <c r="H478" s="4">
        <v>36635.99</v>
      </c>
      <c r="I478">
        <v>3</v>
      </c>
      <c r="J478" s="5">
        <v>0.05</v>
      </c>
      <c r="K478">
        <v>8811.98</v>
      </c>
      <c r="L478" t="s">
        <v>25</v>
      </c>
      <c r="M478" s="16">
        <f t="shared" si="7"/>
        <v>45992</v>
      </c>
    </row>
    <row r="479" spans="1:13" x14ac:dyDescent="0.3">
      <c r="A479" t="s">
        <v>649</v>
      </c>
      <c r="B479" s="3">
        <v>46005.951903807603</v>
      </c>
      <c r="C479" t="s">
        <v>432</v>
      </c>
      <c r="D479" t="s">
        <v>114</v>
      </c>
      <c r="E479" t="s">
        <v>114</v>
      </c>
      <c r="F479" t="s">
        <v>45</v>
      </c>
      <c r="G479" t="s">
        <v>46</v>
      </c>
      <c r="H479" s="4">
        <v>207.36</v>
      </c>
      <c r="I479">
        <v>1</v>
      </c>
      <c r="J479" s="5">
        <v>0.2</v>
      </c>
      <c r="K479">
        <v>35.869999999999997</v>
      </c>
      <c r="L479" t="s">
        <v>25</v>
      </c>
      <c r="M479" s="16">
        <f t="shared" si="7"/>
        <v>45992</v>
      </c>
    </row>
    <row r="480" spans="1:13" x14ac:dyDescent="0.3">
      <c r="A480" t="s">
        <v>650</v>
      </c>
      <c r="B480" s="3">
        <v>46006.681362725438</v>
      </c>
      <c r="C480" t="s">
        <v>329</v>
      </c>
      <c r="D480" t="s">
        <v>14</v>
      </c>
      <c r="E480" t="s">
        <v>15</v>
      </c>
      <c r="F480" t="s">
        <v>106</v>
      </c>
      <c r="G480" t="s">
        <v>35</v>
      </c>
      <c r="H480" s="4">
        <v>6701.96</v>
      </c>
      <c r="I480">
        <v>4</v>
      </c>
      <c r="J480" s="5">
        <v>0.15</v>
      </c>
      <c r="K480">
        <v>1793.4</v>
      </c>
      <c r="L480" t="s">
        <v>51</v>
      </c>
      <c r="M480" s="16">
        <f t="shared" si="7"/>
        <v>45992</v>
      </c>
    </row>
    <row r="481" spans="1:13" x14ac:dyDescent="0.3">
      <c r="A481" t="s">
        <v>651</v>
      </c>
      <c r="B481" s="3">
        <v>46007.410821643272</v>
      </c>
      <c r="C481" t="s">
        <v>401</v>
      </c>
      <c r="D481" t="s">
        <v>14</v>
      </c>
      <c r="E481" t="s">
        <v>15</v>
      </c>
      <c r="F481" t="s">
        <v>63</v>
      </c>
      <c r="G481" t="s">
        <v>17</v>
      </c>
      <c r="H481" s="4">
        <v>38406.25</v>
      </c>
      <c r="I481">
        <v>2</v>
      </c>
      <c r="J481" s="5">
        <v>0.05</v>
      </c>
      <c r="K481">
        <v>5135.3900000000003</v>
      </c>
      <c r="L481" t="s">
        <v>68</v>
      </c>
      <c r="M481" s="16">
        <f t="shared" si="7"/>
        <v>45992</v>
      </c>
    </row>
    <row r="482" spans="1:13" x14ac:dyDescent="0.3">
      <c r="A482" t="s">
        <v>652</v>
      </c>
      <c r="B482" s="3">
        <v>46008.140280561107</v>
      </c>
      <c r="C482" t="s">
        <v>96</v>
      </c>
      <c r="D482" t="s">
        <v>54</v>
      </c>
      <c r="E482" t="s">
        <v>55</v>
      </c>
      <c r="F482" t="s">
        <v>40</v>
      </c>
      <c r="G482" t="s">
        <v>17</v>
      </c>
      <c r="H482" s="4">
        <v>10777.88</v>
      </c>
      <c r="I482">
        <v>5</v>
      </c>
      <c r="J482" s="5">
        <v>0.2</v>
      </c>
      <c r="K482">
        <v>1810.12</v>
      </c>
      <c r="L482" t="s">
        <v>18</v>
      </c>
      <c r="M482" s="16">
        <f t="shared" si="7"/>
        <v>45992</v>
      </c>
    </row>
    <row r="483" spans="1:13" x14ac:dyDescent="0.3">
      <c r="A483" t="s">
        <v>653</v>
      </c>
      <c r="B483" s="3">
        <v>46008.869739478949</v>
      </c>
      <c r="C483" t="s">
        <v>354</v>
      </c>
      <c r="D483" t="s">
        <v>49</v>
      </c>
      <c r="E483" t="s">
        <v>50</v>
      </c>
      <c r="F483" t="s">
        <v>23</v>
      </c>
      <c r="G483" t="s">
        <v>24</v>
      </c>
      <c r="H483" s="4">
        <v>50068.14</v>
      </c>
      <c r="I483">
        <v>4</v>
      </c>
      <c r="J483" s="5">
        <v>0.05</v>
      </c>
      <c r="K483">
        <v>7547.24</v>
      </c>
      <c r="L483" t="s">
        <v>51</v>
      </c>
      <c r="M483" s="16">
        <f t="shared" si="7"/>
        <v>45992</v>
      </c>
    </row>
    <row r="484" spans="1:13" x14ac:dyDescent="0.3">
      <c r="A484" t="s">
        <v>654</v>
      </c>
      <c r="B484" s="3">
        <v>46009.599198396783</v>
      </c>
      <c r="C484" t="s">
        <v>122</v>
      </c>
      <c r="D484" t="s">
        <v>28</v>
      </c>
      <c r="E484" t="s">
        <v>29</v>
      </c>
      <c r="F484" t="s">
        <v>16</v>
      </c>
      <c r="G484" t="s">
        <v>17</v>
      </c>
      <c r="H484" s="4">
        <v>22676.49</v>
      </c>
      <c r="I484">
        <v>2</v>
      </c>
      <c r="J484" s="5">
        <v>0.15</v>
      </c>
      <c r="K484">
        <v>2516.75</v>
      </c>
      <c r="L484" t="s">
        <v>51</v>
      </c>
      <c r="M484" s="16">
        <f t="shared" si="7"/>
        <v>45992</v>
      </c>
    </row>
    <row r="485" spans="1:13" x14ac:dyDescent="0.3">
      <c r="A485" t="s">
        <v>655</v>
      </c>
      <c r="B485" s="3">
        <v>46010.328657314618</v>
      </c>
      <c r="C485" t="s">
        <v>230</v>
      </c>
      <c r="D485" t="s">
        <v>14</v>
      </c>
      <c r="E485" t="s">
        <v>15</v>
      </c>
      <c r="F485" t="s">
        <v>34</v>
      </c>
      <c r="G485" t="s">
        <v>35</v>
      </c>
      <c r="H485" s="4">
        <v>7453.19</v>
      </c>
      <c r="I485">
        <v>4</v>
      </c>
      <c r="J485" s="5">
        <v>0</v>
      </c>
      <c r="K485">
        <v>1309.52</v>
      </c>
      <c r="L485" t="s">
        <v>18</v>
      </c>
      <c r="M485" s="16">
        <f t="shared" si="7"/>
        <v>45992</v>
      </c>
    </row>
    <row r="486" spans="1:13" x14ac:dyDescent="0.3">
      <c r="A486" t="s">
        <v>656</v>
      </c>
      <c r="B486" s="3">
        <v>46011.058116232452</v>
      </c>
      <c r="C486" t="s">
        <v>216</v>
      </c>
      <c r="D486" t="s">
        <v>61</v>
      </c>
      <c r="E486" t="s">
        <v>62</v>
      </c>
      <c r="F486" t="s">
        <v>63</v>
      </c>
      <c r="G486" t="s">
        <v>17</v>
      </c>
      <c r="H486" s="4">
        <v>17292.419999999998</v>
      </c>
      <c r="I486">
        <v>1</v>
      </c>
      <c r="J486" s="5">
        <v>0.2</v>
      </c>
      <c r="K486">
        <v>2751.94</v>
      </c>
      <c r="L486" t="s">
        <v>68</v>
      </c>
      <c r="M486" s="16">
        <f t="shared" si="7"/>
        <v>45992</v>
      </c>
    </row>
    <row r="487" spans="1:13" x14ac:dyDescent="0.3">
      <c r="A487" t="s">
        <v>657</v>
      </c>
      <c r="B487" s="3">
        <v>46011.787575150287</v>
      </c>
      <c r="C487" t="s">
        <v>83</v>
      </c>
      <c r="D487" t="s">
        <v>49</v>
      </c>
      <c r="E487" t="s">
        <v>50</v>
      </c>
      <c r="F487" t="s">
        <v>30</v>
      </c>
      <c r="G487" t="s">
        <v>17</v>
      </c>
      <c r="H487" s="4">
        <v>25855.7</v>
      </c>
      <c r="I487">
        <v>1</v>
      </c>
      <c r="J487" s="5">
        <v>0.05</v>
      </c>
      <c r="K487">
        <v>4898.3</v>
      </c>
      <c r="L487" t="s">
        <v>31</v>
      </c>
      <c r="M487" s="16">
        <f t="shared" si="7"/>
        <v>45992</v>
      </c>
    </row>
    <row r="488" spans="1:13" x14ac:dyDescent="0.3">
      <c r="A488" t="s">
        <v>658</v>
      </c>
      <c r="B488" s="3">
        <v>46012.517034068122</v>
      </c>
      <c r="C488" t="s">
        <v>65</v>
      </c>
      <c r="D488" t="s">
        <v>73</v>
      </c>
      <c r="E488" t="s">
        <v>74</v>
      </c>
      <c r="F488" t="s">
        <v>75</v>
      </c>
      <c r="G488" t="s">
        <v>24</v>
      </c>
      <c r="H488" s="4">
        <v>43866.45</v>
      </c>
      <c r="I488">
        <v>5</v>
      </c>
      <c r="J488" s="5">
        <v>0.15</v>
      </c>
      <c r="K488">
        <v>6768.31</v>
      </c>
      <c r="L488" t="s">
        <v>51</v>
      </c>
      <c r="M488" s="16">
        <f t="shared" si="7"/>
        <v>45992</v>
      </c>
    </row>
    <row r="489" spans="1:13" x14ac:dyDescent="0.3">
      <c r="A489" t="s">
        <v>659</v>
      </c>
      <c r="B489" s="3">
        <v>46013.246492985963</v>
      </c>
      <c r="C489" t="s">
        <v>247</v>
      </c>
      <c r="D489" t="s">
        <v>38</v>
      </c>
      <c r="E489" t="s">
        <v>39</v>
      </c>
      <c r="F489" t="s">
        <v>63</v>
      </c>
      <c r="G489" t="s">
        <v>17</v>
      </c>
      <c r="H489" s="4">
        <v>83644.05</v>
      </c>
      <c r="I489">
        <v>4</v>
      </c>
      <c r="J489" s="5">
        <v>0.1</v>
      </c>
      <c r="K489">
        <v>8648.99</v>
      </c>
      <c r="L489" t="s">
        <v>25</v>
      </c>
      <c r="M489" s="16">
        <f t="shared" si="7"/>
        <v>45992</v>
      </c>
    </row>
    <row r="490" spans="1:13" x14ac:dyDescent="0.3">
      <c r="A490" t="s">
        <v>660</v>
      </c>
      <c r="B490" s="3">
        <v>46013.975951903798</v>
      </c>
      <c r="C490" t="s">
        <v>236</v>
      </c>
      <c r="D490" t="s">
        <v>21</v>
      </c>
      <c r="E490" t="s">
        <v>22</v>
      </c>
      <c r="F490" t="s">
        <v>94</v>
      </c>
      <c r="G490" t="s">
        <v>46</v>
      </c>
      <c r="H490" s="4">
        <v>71206.52</v>
      </c>
      <c r="I490">
        <v>5</v>
      </c>
      <c r="J490" s="5">
        <v>0.15</v>
      </c>
      <c r="K490">
        <v>12961.7</v>
      </c>
      <c r="L490" t="s">
        <v>25</v>
      </c>
      <c r="M490" s="16">
        <f t="shared" si="7"/>
        <v>45992</v>
      </c>
    </row>
    <row r="491" spans="1:13" x14ac:dyDescent="0.3">
      <c r="A491" t="s">
        <v>661</v>
      </c>
      <c r="B491" s="3">
        <v>46014.705410821633</v>
      </c>
      <c r="C491" t="s">
        <v>383</v>
      </c>
      <c r="D491" t="s">
        <v>61</v>
      </c>
      <c r="E491" t="s">
        <v>62</v>
      </c>
      <c r="F491" t="s">
        <v>75</v>
      </c>
      <c r="G491" t="s">
        <v>24</v>
      </c>
      <c r="H491" s="4">
        <v>9169.7099999999991</v>
      </c>
      <c r="I491">
        <v>1</v>
      </c>
      <c r="J491" s="5">
        <v>0.05</v>
      </c>
      <c r="K491">
        <v>975.02</v>
      </c>
      <c r="L491" t="s">
        <v>18</v>
      </c>
      <c r="M491" s="16">
        <f t="shared" si="7"/>
        <v>45992</v>
      </c>
    </row>
    <row r="492" spans="1:13" x14ac:dyDescent="0.3">
      <c r="A492" t="s">
        <v>662</v>
      </c>
      <c r="B492" s="3">
        <v>46015.434869739467</v>
      </c>
      <c r="C492" t="s">
        <v>198</v>
      </c>
      <c r="D492" t="s">
        <v>61</v>
      </c>
      <c r="E492" t="s">
        <v>62</v>
      </c>
      <c r="F492" t="s">
        <v>40</v>
      </c>
      <c r="G492" t="s">
        <v>17</v>
      </c>
      <c r="H492" s="4">
        <v>9719.67</v>
      </c>
      <c r="I492">
        <v>5</v>
      </c>
      <c r="J492" s="5">
        <v>0.25</v>
      </c>
      <c r="K492">
        <v>1951.42</v>
      </c>
      <c r="L492" t="s">
        <v>31</v>
      </c>
      <c r="M492" s="16">
        <f t="shared" si="7"/>
        <v>45992</v>
      </c>
    </row>
    <row r="493" spans="1:13" x14ac:dyDescent="0.3">
      <c r="A493" t="s">
        <v>663</v>
      </c>
      <c r="B493" s="3">
        <v>46016.164328657302</v>
      </c>
      <c r="C493" t="s">
        <v>432</v>
      </c>
      <c r="D493" t="s">
        <v>28</v>
      </c>
      <c r="E493" t="s">
        <v>29</v>
      </c>
      <c r="F493" t="s">
        <v>40</v>
      </c>
      <c r="G493" t="s">
        <v>17</v>
      </c>
      <c r="H493" s="4">
        <v>4801.09</v>
      </c>
      <c r="I493">
        <v>2</v>
      </c>
      <c r="J493" s="5">
        <v>0</v>
      </c>
      <c r="K493">
        <v>918.72</v>
      </c>
      <c r="L493" t="s">
        <v>31</v>
      </c>
      <c r="M493" s="16">
        <f t="shared" si="7"/>
        <v>45992</v>
      </c>
    </row>
    <row r="494" spans="1:13" x14ac:dyDescent="0.3">
      <c r="A494" t="s">
        <v>664</v>
      </c>
      <c r="B494" s="3">
        <v>46016.893787575144</v>
      </c>
      <c r="C494" t="s">
        <v>172</v>
      </c>
      <c r="D494" t="s">
        <v>38</v>
      </c>
      <c r="E494" t="s">
        <v>39</v>
      </c>
      <c r="F494" t="s">
        <v>106</v>
      </c>
      <c r="G494" t="s">
        <v>35</v>
      </c>
      <c r="H494" s="4">
        <v>3261.34</v>
      </c>
      <c r="I494">
        <v>2</v>
      </c>
      <c r="J494" s="5">
        <v>0.1</v>
      </c>
      <c r="K494">
        <v>751.2</v>
      </c>
      <c r="L494" t="s">
        <v>31</v>
      </c>
      <c r="M494" s="16">
        <f t="shared" si="7"/>
        <v>45992</v>
      </c>
    </row>
    <row r="495" spans="1:13" x14ac:dyDescent="0.3">
      <c r="A495" t="s">
        <v>665</v>
      </c>
      <c r="B495" s="3">
        <v>46017.623246492978</v>
      </c>
      <c r="C495" t="s">
        <v>188</v>
      </c>
      <c r="D495" t="s">
        <v>54</v>
      </c>
      <c r="E495" t="s">
        <v>55</v>
      </c>
      <c r="F495" t="s">
        <v>16</v>
      </c>
      <c r="G495" t="s">
        <v>17</v>
      </c>
      <c r="H495" s="4">
        <v>61154.51</v>
      </c>
      <c r="I495">
        <v>5</v>
      </c>
      <c r="J495" s="5">
        <v>0.05</v>
      </c>
      <c r="K495">
        <v>11672.41</v>
      </c>
      <c r="L495" t="s">
        <v>51</v>
      </c>
      <c r="M495" s="16">
        <f t="shared" si="7"/>
        <v>45992</v>
      </c>
    </row>
    <row r="496" spans="1:13" x14ac:dyDescent="0.3">
      <c r="A496" t="s">
        <v>666</v>
      </c>
      <c r="B496" s="3">
        <v>46018.352705410813</v>
      </c>
      <c r="C496" t="s">
        <v>118</v>
      </c>
      <c r="D496" t="s">
        <v>49</v>
      </c>
      <c r="E496" t="s">
        <v>50</v>
      </c>
      <c r="F496" t="s">
        <v>30</v>
      </c>
      <c r="G496" t="s">
        <v>17</v>
      </c>
      <c r="H496" s="4">
        <v>73702.52</v>
      </c>
      <c r="I496">
        <v>3</v>
      </c>
      <c r="J496" s="5">
        <v>0.05</v>
      </c>
      <c r="K496">
        <v>8955.4599999999991</v>
      </c>
      <c r="L496" t="s">
        <v>68</v>
      </c>
      <c r="M496" s="16">
        <f t="shared" si="7"/>
        <v>45992</v>
      </c>
    </row>
    <row r="497" spans="1:13" x14ac:dyDescent="0.3">
      <c r="A497" t="s">
        <v>667</v>
      </c>
      <c r="B497" s="3">
        <v>46019.082164328647</v>
      </c>
      <c r="C497" t="s">
        <v>67</v>
      </c>
      <c r="D497" t="s">
        <v>90</v>
      </c>
      <c r="E497" t="s">
        <v>44</v>
      </c>
      <c r="F497" t="s">
        <v>63</v>
      </c>
      <c r="G497" t="s">
        <v>17</v>
      </c>
      <c r="H497" s="4">
        <v>21002.78</v>
      </c>
      <c r="I497">
        <v>1</v>
      </c>
      <c r="J497" s="5">
        <v>0.1</v>
      </c>
      <c r="K497">
        <v>4874.43</v>
      </c>
      <c r="L497" t="s">
        <v>68</v>
      </c>
      <c r="M497" s="16">
        <f t="shared" si="7"/>
        <v>45992</v>
      </c>
    </row>
    <row r="498" spans="1:13" x14ac:dyDescent="0.3">
      <c r="A498" t="s">
        <v>668</v>
      </c>
      <c r="B498" s="3">
        <v>46019.811623246482</v>
      </c>
      <c r="C498" t="s">
        <v>188</v>
      </c>
      <c r="D498" t="s">
        <v>43</v>
      </c>
      <c r="E498" t="s">
        <v>44</v>
      </c>
      <c r="F498" t="s">
        <v>30</v>
      </c>
      <c r="G498" t="s">
        <v>17</v>
      </c>
      <c r="H498" s="4">
        <v>134170.78</v>
      </c>
      <c r="I498">
        <v>5</v>
      </c>
      <c r="J498" s="5">
        <v>0.15</v>
      </c>
      <c r="K498">
        <v>11953.34</v>
      </c>
      <c r="L498" t="s">
        <v>18</v>
      </c>
      <c r="M498" s="16">
        <f t="shared" si="7"/>
        <v>45992</v>
      </c>
    </row>
    <row r="499" spans="1:13" x14ac:dyDescent="0.3">
      <c r="A499" t="s">
        <v>669</v>
      </c>
      <c r="B499" s="3">
        <v>46020.541082164324</v>
      </c>
      <c r="C499" t="s">
        <v>103</v>
      </c>
      <c r="D499" t="s">
        <v>54</v>
      </c>
      <c r="E499" t="s">
        <v>55</v>
      </c>
      <c r="F499" t="s">
        <v>94</v>
      </c>
      <c r="G499" t="s">
        <v>46</v>
      </c>
      <c r="H499" s="4">
        <v>54159.63</v>
      </c>
      <c r="I499">
        <v>4</v>
      </c>
      <c r="J499" s="5">
        <v>0.1</v>
      </c>
      <c r="K499">
        <v>4877</v>
      </c>
      <c r="L499" t="s">
        <v>31</v>
      </c>
      <c r="M499" s="16">
        <f t="shared" si="7"/>
        <v>45992</v>
      </c>
    </row>
    <row r="500" spans="1:13" x14ac:dyDescent="0.3">
      <c r="A500" t="s">
        <v>670</v>
      </c>
      <c r="B500" s="3">
        <v>46021.270541082173</v>
      </c>
      <c r="C500" t="s">
        <v>316</v>
      </c>
      <c r="D500" t="s">
        <v>54</v>
      </c>
      <c r="E500" t="s">
        <v>55</v>
      </c>
      <c r="F500" t="s">
        <v>94</v>
      </c>
      <c r="G500" t="s">
        <v>46</v>
      </c>
      <c r="H500" s="4">
        <v>13882.23</v>
      </c>
      <c r="I500">
        <v>1</v>
      </c>
      <c r="J500" s="5">
        <v>0.15</v>
      </c>
      <c r="K500">
        <v>1708.9</v>
      </c>
      <c r="L500" t="s">
        <v>68</v>
      </c>
      <c r="M500" s="16">
        <f t="shared" si="7"/>
        <v>45992</v>
      </c>
    </row>
    <row r="501" spans="1:13" x14ac:dyDescent="0.3">
      <c r="A501" t="s">
        <v>671</v>
      </c>
      <c r="B501" s="3">
        <v>46022</v>
      </c>
      <c r="C501" t="s">
        <v>33</v>
      </c>
      <c r="D501" t="s">
        <v>38</v>
      </c>
      <c r="E501" t="s">
        <v>39</v>
      </c>
      <c r="F501" t="s">
        <v>94</v>
      </c>
      <c r="G501" t="s">
        <v>46</v>
      </c>
      <c r="H501" s="4">
        <v>38562.589999999997</v>
      </c>
      <c r="I501">
        <v>3</v>
      </c>
      <c r="J501" s="5">
        <v>0.05</v>
      </c>
      <c r="K501">
        <v>9266.17</v>
      </c>
      <c r="L501" t="s">
        <v>18</v>
      </c>
      <c r="M501" s="16">
        <f t="shared" si="7"/>
        <v>45992</v>
      </c>
    </row>
  </sheetData>
  <conditionalFormatting sqref="A1:A1048576">
    <cfRule type="duplicateValues" dxfId="7" priority="1"/>
  </conditionalFormatting>
  <pageMargins left="0.75" right="0.75" top="1" bottom="1" header="0.5" footer="0.5"/>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8107-4C4C-42CE-A32F-6F8EC7A20E37}">
  <dimension ref="A1:G9"/>
  <sheetViews>
    <sheetView topLeftCell="B1" workbookViewId="0">
      <selection activeCell="D3" sqref="D3"/>
    </sheetView>
  </sheetViews>
  <sheetFormatPr defaultRowHeight="14.4" x14ac:dyDescent="0.3"/>
  <cols>
    <col min="1" max="1" width="24.109375" bestFit="1" customWidth="1"/>
    <col min="2" max="2" width="12" bestFit="1" customWidth="1"/>
    <col min="4" max="4" width="8" bestFit="1" customWidth="1"/>
  </cols>
  <sheetData>
    <row r="1" spans="1:7" x14ac:dyDescent="0.3">
      <c r="A1" s="10" t="s">
        <v>673</v>
      </c>
    </row>
    <row r="3" spans="1:7" x14ac:dyDescent="0.3">
      <c r="A3" t="s">
        <v>674</v>
      </c>
      <c r="B3" t="s">
        <v>675</v>
      </c>
      <c r="D3" t="s">
        <v>684</v>
      </c>
      <c r="E3" t="s">
        <v>7</v>
      </c>
      <c r="F3" t="s">
        <v>10</v>
      </c>
      <c r="G3" t="s">
        <v>686</v>
      </c>
    </row>
    <row r="4" spans="1:7" x14ac:dyDescent="0.3">
      <c r="A4" t="s">
        <v>676</v>
      </c>
      <c r="B4">
        <f>SUM(SalesData[Sales])</f>
        <v>17557936.49000001</v>
      </c>
      <c r="D4" t="str">
        <f>IFERROR(INDEX(SalesData[MONTH],MATCH(0,COUNTIF($D$3:D3,SalesData[MONTH]),0)),"")</f>
        <v/>
      </c>
    </row>
    <row r="5" spans="1:7" x14ac:dyDescent="0.3">
      <c r="A5" t="s">
        <v>677</v>
      </c>
      <c r="B5">
        <f>SUM(SalesData[Profit])</f>
        <v>3231398.319999998</v>
      </c>
    </row>
    <row r="6" spans="1:7" x14ac:dyDescent="0.3">
      <c r="A6" t="s">
        <v>678</v>
      </c>
      <c r="B6">
        <f>SUM(SalesData[Quantity])</f>
        <v>1533</v>
      </c>
    </row>
    <row r="7" spans="1:7" x14ac:dyDescent="0.3">
      <c r="A7" t="s">
        <v>679</v>
      </c>
      <c r="B7">
        <f>COUNTA(SalesData[Order ID])</f>
        <v>500</v>
      </c>
    </row>
    <row r="8" spans="1:7" x14ac:dyDescent="0.3">
      <c r="A8" t="s">
        <v>680</v>
      </c>
      <c r="B8">
        <f xml:space="preserve"> B4/B7</f>
        <v>35115.872980000022</v>
      </c>
    </row>
    <row r="9" spans="1:7" x14ac:dyDescent="0.3">
      <c r="A9" t="s">
        <v>681</v>
      </c>
      <c r="B9" s="11">
        <f>B5/B4</f>
        <v>0.18404203260675972</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0DFC-791D-4E32-A194-63A14AE4D8D3}">
  <dimension ref="A1:H8"/>
  <sheetViews>
    <sheetView tabSelected="1" zoomScale="60" zoomScaleNormal="60" workbookViewId="0">
      <selection activeCell="G9" sqref="G9"/>
    </sheetView>
  </sheetViews>
  <sheetFormatPr defaultRowHeight="14.4" x14ac:dyDescent="0.3"/>
  <cols>
    <col min="1" max="1" width="17.88671875" bestFit="1" customWidth="1"/>
    <col min="3" max="3" width="12.44140625" bestFit="1" customWidth="1"/>
    <col min="5" max="5" width="11.109375" bestFit="1" customWidth="1"/>
    <col min="7" max="7" width="12.6640625" bestFit="1" customWidth="1"/>
  </cols>
  <sheetData>
    <row r="1" spans="1:8" ht="31.2" x14ac:dyDescent="0.6">
      <c r="A1" s="26" t="s">
        <v>693</v>
      </c>
      <c r="B1" s="27"/>
      <c r="C1" s="27"/>
      <c r="D1" s="27"/>
      <c r="E1" s="27"/>
      <c r="F1" s="27"/>
      <c r="G1" s="27"/>
      <c r="H1" s="27"/>
    </row>
    <row r="4" spans="1:8" x14ac:dyDescent="0.3">
      <c r="A4" s="19" t="s">
        <v>676</v>
      </c>
      <c r="B4" s="19"/>
      <c r="C4" s="19" t="s">
        <v>677</v>
      </c>
      <c r="E4" s="21" t="s">
        <v>679</v>
      </c>
      <c r="F4" s="21"/>
      <c r="G4" s="21" t="s">
        <v>678</v>
      </c>
    </row>
    <row r="5" spans="1:8" x14ac:dyDescent="0.3">
      <c r="A5" s="20">
        <f>Analysis!B4</f>
        <v>17557936.49000001</v>
      </c>
      <c r="B5" s="19"/>
      <c r="C5" s="20">
        <f>Analysis!B5</f>
        <v>3231398.319999998</v>
      </c>
      <c r="E5" s="22">
        <f>Analysis!B7</f>
        <v>500</v>
      </c>
      <c r="F5" s="21"/>
      <c r="G5" s="22">
        <f>Analysis!B6</f>
        <v>1533</v>
      </c>
    </row>
    <row r="7" spans="1:8" x14ac:dyDescent="0.3">
      <c r="A7" s="23" t="s">
        <v>680</v>
      </c>
      <c r="B7" s="23"/>
      <c r="C7" s="23" t="s">
        <v>681</v>
      </c>
    </row>
    <row r="8" spans="1:8" x14ac:dyDescent="0.3">
      <c r="A8" s="24">
        <f>Analysis!B8</f>
        <v>35115.872980000022</v>
      </c>
      <c r="B8" s="23"/>
      <c r="C8" s="25">
        <f>Analysis!B9</f>
        <v>0.18404203260675972</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 (2)</vt:lpstr>
      <vt:lpstr>Pivot_Analysis</vt:lpstr>
      <vt:lpstr>Category_Analysis</vt:lpstr>
      <vt:lpstr>Product_Analysis</vt:lpstr>
      <vt:lpstr>State_Analysis</vt:lpstr>
      <vt:lpstr>Payment_Analysis</vt:lpstr>
      <vt:lpstr>Discount_Analysis</vt:lpstr>
      <vt:lpstr>Sheet10</vt:lpstr>
      <vt:lpstr>Cleaned_Data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 kashiv</cp:lastModifiedBy>
  <dcterms:created xsi:type="dcterms:W3CDTF">2026-08-23T12:36:40Z</dcterms:created>
  <dcterms:modified xsi:type="dcterms:W3CDTF">2026-09-29T15:41:30Z</dcterms:modified>
</cp:coreProperties>
</file>